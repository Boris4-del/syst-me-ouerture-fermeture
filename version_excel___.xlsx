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P\Downloads\Semestre_4\3_Conception_Simulation_Dynamique\sys_ouverture_fermeture\"/>
    </mc:Choice>
  </mc:AlternateContent>
  <xr:revisionPtr revIDLastSave="0" documentId="13_ncr:1_{420A00B8-5C7A-4459-9422-F78FC01661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9" i="1" l="1"/>
  <c r="A20" i="1"/>
  <c r="A21" i="1"/>
  <c r="A22" i="1"/>
  <c r="A23" i="1" s="1"/>
  <c r="A24" i="1" s="1"/>
  <c r="A25" i="1"/>
  <c r="A26" i="1"/>
  <c r="A27" i="1" s="1"/>
  <c r="A28" i="1" s="1"/>
  <c r="A29" i="1"/>
  <c r="A30" i="1" s="1"/>
  <c r="A31" i="1" s="1"/>
  <c r="A32" i="1" s="1"/>
  <c r="A33" i="1" s="1"/>
  <c r="A34" i="1" s="1"/>
  <c r="A35" i="1" s="1"/>
  <c r="A36" i="1" s="1"/>
  <c r="A37" i="1" s="1"/>
  <c r="A38" i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D18" i="1"/>
  <c r="E18" i="1" s="1"/>
  <c r="F18" i="1" s="1"/>
  <c r="B18" i="1"/>
  <c r="A18" i="1"/>
  <c r="D17" i="1"/>
  <c r="E17" i="1" s="1"/>
  <c r="F17" i="1" s="1"/>
  <c r="C18" i="1" s="1"/>
  <c r="B13" i="1"/>
  <c r="C19" i="1" l="1"/>
  <c r="B19" i="1"/>
  <c r="D19" i="1" l="1"/>
  <c r="E19" i="1" s="1"/>
  <c r="F19" i="1" s="1"/>
  <c r="C20" i="1" s="1"/>
  <c r="B20" i="1"/>
  <c r="D20" i="1" l="1"/>
  <c r="E20" i="1" s="1"/>
  <c r="F20" i="1" s="1"/>
  <c r="C21" i="1" s="1"/>
  <c r="B21" i="1"/>
  <c r="D21" i="1" l="1"/>
  <c r="E21" i="1" s="1"/>
  <c r="F21" i="1" s="1"/>
  <c r="C22" i="1" s="1"/>
  <c r="B22" i="1"/>
  <c r="B23" i="1" l="1"/>
  <c r="D22" i="1"/>
  <c r="E22" i="1" s="1"/>
  <c r="F22" i="1" s="1"/>
  <c r="C23" i="1" s="1"/>
  <c r="B24" i="1" l="1"/>
  <c r="D23" i="1"/>
  <c r="E23" i="1" s="1"/>
  <c r="F23" i="1" s="1"/>
  <c r="C24" i="1" s="1"/>
  <c r="D24" i="1" l="1"/>
  <c r="E24" i="1" s="1"/>
  <c r="F24" i="1" s="1"/>
  <c r="C25" i="1" s="1"/>
  <c r="B25" i="1"/>
  <c r="D25" i="1" l="1"/>
  <c r="E25" i="1" s="1"/>
  <c r="F25" i="1" s="1"/>
  <c r="C26" i="1" s="1"/>
  <c r="B26" i="1"/>
  <c r="D26" i="1" l="1"/>
  <c r="E26" i="1" s="1"/>
  <c r="F26" i="1" s="1"/>
  <c r="C27" i="1" s="1"/>
  <c r="B27" i="1"/>
  <c r="B28" i="1" l="1"/>
  <c r="D27" i="1"/>
  <c r="E27" i="1" s="1"/>
  <c r="F27" i="1" s="1"/>
  <c r="C28" i="1" s="1"/>
  <c r="D28" i="1" l="1"/>
  <c r="E28" i="1" s="1"/>
  <c r="F28" i="1" s="1"/>
  <c r="C29" i="1" s="1"/>
  <c r="B29" i="1"/>
  <c r="D29" i="1" l="1"/>
  <c r="E29" i="1" s="1"/>
  <c r="F29" i="1" s="1"/>
  <c r="C30" i="1" s="1"/>
  <c r="B30" i="1"/>
  <c r="B31" i="1" l="1"/>
  <c r="D30" i="1"/>
  <c r="E30" i="1" s="1"/>
  <c r="F30" i="1" s="1"/>
  <c r="C31" i="1" s="1"/>
  <c r="B32" i="1" l="1"/>
  <c r="D31" i="1"/>
  <c r="E31" i="1" s="1"/>
  <c r="F31" i="1" s="1"/>
  <c r="C32" i="1" s="1"/>
  <c r="D32" i="1" l="1"/>
  <c r="E32" i="1" s="1"/>
  <c r="F32" i="1" s="1"/>
  <c r="C33" i="1" s="1"/>
  <c r="B33" i="1"/>
  <c r="D33" i="1" l="1"/>
  <c r="E33" i="1" s="1"/>
  <c r="F33" i="1" s="1"/>
  <c r="C34" i="1" s="1"/>
  <c r="B34" i="1"/>
  <c r="B35" i="1" l="1"/>
  <c r="D34" i="1"/>
  <c r="E34" i="1" s="1"/>
  <c r="F34" i="1" s="1"/>
  <c r="C35" i="1" s="1"/>
  <c r="B36" i="1" l="1"/>
  <c r="D35" i="1"/>
  <c r="E35" i="1" s="1"/>
  <c r="F35" i="1" s="1"/>
  <c r="C36" i="1" s="1"/>
  <c r="D36" i="1" l="1"/>
  <c r="E36" i="1" s="1"/>
  <c r="F36" i="1" s="1"/>
  <c r="C37" i="1" s="1"/>
  <c r="B37" i="1"/>
  <c r="D37" i="1" l="1"/>
  <c r="E37" i="1" s="1"/>
  <c r="F37" i="1" s="1"/>
  <c r="C38" i="1" s="1"/>
  <c r="B38" i="1"/>
  <c r="B39" i="1" l="1"/>
  <c r="D38" i="1"/>
  <c r="E38" i="1" s="1"/>
  <c r="F38" i="1" s="1"/>
  <c r="C39" i="1" s="1"/>
  <c r="D39" i="1" l="1"/>
  <c r="E39" i="1" s="1"/>
  <c r="F39" i="1" s="1"/>
  <c r="C40" i="1" s="1"/>
  <c r="B40" i="1"/>
  <c r="D40" i="1" l="1"/>
  <c r="E40" i="1" s="1"/>
  <c r="F40" i="1" s="1"/>
  <c r="C41" i="1" s="1"/>
  <c r="B41" i="1"/>
  <c r="D41" i="1" l="1"/>
  <c r="E41" i="1" s="1"/>
  <c r="F41" i="1" s="1"/>
  <c r="C42" i="1" s="1"/>
  <c r="B42" i="1"/>
  <c r="D42" i="1" l="1"/>
  <c r="E42" i="1" s="1"/>
  <c r="F42" i="1" s="1"/>
  <c r="C43" i="1" s="1"/>
  <c r="B43" i="1"/>
  <c r="B44" i="1" l="1"/>
  <c r="D43" i="1"/>
  <c r="E43" i="1" s="1"/>
  <c r="F43" i="1" s="1"/>
  <c r="C44" i="1" s="1"/>
  <c r="B45" i="1" l="1"/>
  <c r="D44" i="1"/>
  <c r="E44" i="1" s="1"/>
  <c r="F44" i="1" s="1"/>
  <c r="C45" i="1" s="1"/>
  <c r="D45" i="1" l="1"/>
  <c r="E45" i="1" s="1"/>
  <c r="F45" i="1" s="1"/>
  <c r="C46" i="1" s="1"/>
  <c r="B46" i="1"/>
  <c r="B47" i="1" l="1"/>
  <c r="D46" i="1"/>
  <c r="E46" i="1" s="1"/>
  <c r="F46" i="1" s="1"/>
  <c r="C47" i="1" s="1"/>
  <c r="B48" i="1" l="1"/>
  <c r="D47" i="1"/>
  <c r="E47" i="1" s="1"/>
  <c r="F47" i="1" s="1"/>
  <c r="C48" i="1" s="1"/>
  <c r="D48" i="1" l="1"/>
  <c r="E48" i="1" s="1"/>
  <c r="F48" i="1" s="1"/>
  <c r="C49" i="1" s="1"/>
  <c r="B49" i="1"/>
  <c r="D49" i="1" l="1"/>
  <c r="E49" i="1" s="1"/>
  <c r="F49" i="1" s="1"/>
  <c r="C50" i="1" s="1"/>
  <c r="B50" i="1"/>
  <c r="B51" i="1" l="1"/>
  <c r="D50" i="1"/>
  <c r="E50" i="1" s="1"/>
  <c r="F50" i="1" s="1"/>
  <c r="C51" i="1" s="1"/>
  <c r="B52" i="1" l="1"/>
  <c r="D51" i="1"/>
  <c r="E51" i="1" s="1"/>
  <c r="F51" i="1" s="1"/>
  <c r="C52" i="1" s="1"/>
  <c r="D52" i="1" l="1"/>
  <c r="E52" i="1" s="1"/>
  <c r="F52" i="1" s="1"/>
  <c r="C53" i="1" s="1"/>
  <c r="B53" i="1"/>
  <c r="D53" i="1" l="1"/>
  <c r="E53" i="1" s="1"/>
  <c r="F53" i="1" s="1"/>
  <c r="C54" i="1" s="1"/>
  <c r="B54" i="1"/>
  <c r="D54" i="1" l="1"/>
  <c r="E54" i="1" s="1"/>
  <c r="F54" i="1" s="1"/>
  <c r="C55" i="1" s="1"/>
  <c r="B55" i="1"/>
  <c r="D55" i="1" l="1"/>
  <c r="E55" i="1" s="1"/>
  <c r="F55" i="1" s="1"/>
  <c r="C56" i="1" s="1"/>
  <c r="B56" i="1"/>
  <c r="D56" i="1" l="1"/>
  <c r="E56" i="1" s="1"/>
  <c r="F56" i="1" s="1"/>
  <c r="C57" i="1" s="1"/>
  <c r="B57" i="1"/>
  <c r="B58" i="1" l="1"/>
  <c r="D57" i="1"/>
  <c r="E57" i="1" s="1"/>
  <c r="F57" i="1" s="1"/>
  <c r="C58" i="1" s="1"/>
  <c r="D58" i="1" l="1"/>
  <c r="E58" i="1" s="1"/>
  <c r="F58" i="1" s="1"/>
  <c r="C59" i="1" s="1"/>
  <c r="B59" i="1"/>
  <c r="B60" i="1" l="1"/>
  <c r="D59" i="1"/>
  <c r="E59" i="1" s="1"/>
  <c r="F59" i="1" s="1"/>
  <c r="C60" i="1" s="1"/>
  <c r="D60" i="1" l="1"/>
  <c r="E60" i="1" s="1"/>
  <c r="F60" i="1" s="1"/>
  <c r="C61" i="1" s="1"/>
  <c r="B61" i="1"/>
  <c r="D61" i="1" l="1"/>
  <c r="E61" i="1" s="1"/>
  <c r="F61" i="1" s="1"/>
  <c r="C62" i="1" s="1"/>
  <c r="B62" i="1"/>
  <c r="B63" i="1" l="1"/>
  <c r="D62" i="1"/>
  <c r="E62" i="1" s="1"/>
  <c r="F62" i="1" s="1"/>
  <c r="C63" i="1" s="1"/>
  <c r="B64" i="1" l="1"/>
  <c r="D63" i="1"/>
  <c r="E63" i="1" s="1"/>
  <c r="F63" i="1" s="1"/>
  <c r="C64" i="1" s="1"/>
  <c r="D64" i="1" l="1"/>
  <c r="E64" i="1" s="1"/>
  <c r="F64" i="1" s="1"/>
  <c r="C65" i="1" s="1"/>
  <c r="B65" i="1"/>
  <c r="D65" i="1" l="1"/>
  <c r="E65" i="1" s="1"/>
  <c r="F65" i="1" s="1"/>
  <c r="C66" i="1" s="1"/>
  <c r="B66" i="1"/>
  <c r="B67" i="1" l="1"/>
  <c r="D66" i="1"/>
  <c r="E66" i="1" s="1"/>
  <c r="F66" i="1" s="1"/>
  <c r="C67" i="1" s="1"/>
  <c r="B68" i="1" l="1"/>
  <c r="D67" i="1"/>
  <c r="E67" i="1" s="1"/>
  <c r="F67" i="1" s="1"/>
  <c r="C68" i="1" s="1"/>
  <c r="B69" i="1" l="1"/>
  <c r="D68" i="1"/>
  <c r="E68" i="1" s="1"/>
  <c r="F68" i="1" s="1"/>
  <c r="C69" i="1" s="1"/>
  <c r="B70" i="1" l="1"/>
  <c r="D69" i="1"/>
  <c r="E69" i="1" s="1"/>
  <c r="F69" i="1" s="1"/>
  <c r="C70" i="1" s="1"/>
  <c r="B71" i="1" l="1"/>
  <c r="D70" i="1"/>
  <c r="E70" i="1" s="1"/>
  <c r="F70" i="1" s="1"/>
  <c r="C71" i="1" s="1"/>
  <c r="B72" i="1" l="1"/>
  <c r="D71" i="1"/>
  <c r="E71" i="1" s="1"/>
  <c r="F71" i="1" s="1"/>
  <c r="C72" i="1" s="1"/>
  <c r="D72" i="1" l="1"/>
  <c r="E72" i="1" s="1"/>
  <c r="F72" i="1" s="1"/>
  <c r="C73" i="1" s="1"/>
  <c r="B73" i="1"/>
  <c r="B74" i="1" l="1"/>
  <c r="D73" i="1"/>
  <c r="E73" i="1" s="1"/>
  <c r="F73" i="1" s="1"/>
  <c r="C74" i="1" s="1"/>
  <c r="D74" i="1" l="1"/>
  <c r="E74" i="1" s="1"/>
  <c r="F74" i="1" s="1"/>
  <c r="C75" i="1" s="1"/>
  <c r="B75" i="1"/>
  <c r="B76" i="1" l="1"/>
  <c r="D75" i="1"/>
  <c r="E75" i="1" s="1"/>
  <c r="F75" i="1" s="1"/>
  <c r="C76" i="1" s="1"/>
  <c r="D76" i="1" l="1"/>
  <c r="E76" i="1" s="1"/>
  <c r="F76" i="1" s="1"/>
  <c r="C77" i="1" s="1"/>
  <c r="B77" i="1"/>
  <c r="D77" i="1" l="1"/>
  <c r="E77" i="1" s="1"/>
  <c r="F77" i="1" s="1"/>
  <c r="C78" i="1" s="1"/>
  <c r="B78" i="1"/>
  <c r="D78" i="1" l="1"/>
  <c r="E78" i="1" s="1"/>
  <c r="F78" i="1" s="1"/>
  <c r="C79" i="1" s="1"/>
  <c r="B79" i="1"/>
  <c r="B80" i="1" l="1"/>
  <c r="D79" i="1"/>
  <c r="E79" i="1" s="1"/>
  <c r="F79" i="1" s="1"/>
  <c r="C80" i="1" s="1"/>
  <c r="B81" i="1" l="1"/>
  <c r="D80" i="1"/>
  <c r="E80" i="1" s="1"/>
  <c r="F80" i="1" s="1"/>
  <c r="C81" i="1" s="1"/>
  <c r="D81" i="1" l="1"/>
  <c r="E81" i="1" s="1"/>
  <c r="F81" i="1" s="1"/>
  <c r="C82" i="1" s="1"/>
  <c r="B82" i="1"/>
  <c r="B83" i="1" l="1"/>
  <c r="D82" i="1"/>
  <c r="E82" i="1" s="1"/>
  <c r="F82" i="1" s="1"/>
  <c r="C83" i="1" s="1"/>
  <c r="B84" i="1" l="1"/>
  <c r="D83" i="1"/>
  <c r="E83" i="1" s="1"/>
  <c r="F83" i="1" s="1"/>
  <c r="C84" i="1" s="1"/>
  <c r="D84" i="1" l="1"/>
  <c r="E84" i="1" s="1"/>
  <c r="F84" i="1" s="1"/>
  <c r="C85" i="1" s="1"/>
  <c r="B85" i="1"/>
  <c r="D85" i="1" l="1"/>
  <c r="E85" i="1" s="1"/>
  <c r="F85" i="1" s="1"/>
  <c r="C86" i="1" s="1"/>
  <c r="B86" i="1"/>
  <c r="B87" i="1" l="1"/>
  <c r="D86" i="1"/>
  <c r="E86" i="1" s="1"/>
  <c r="F86" i="1" s="1"/>
  <c r="C87" i="1" s="1"/>
  <c r="B88" i="1" l="1"/>
  <c r="D87" i="1"/>
  <c r="E87" i="1" s="1"/>
  <c r="F87" i="1" s="1"/>
  <c r="C88" i="1" s="1"/>
  <c r="D88" i="1" l="1"/>
  <c r="E88" i="1" s="1"/>
  <c r="F88" i="1" s="1"/>
  <c r="C89" i="1" s="1"/>
  <c r="B89" i="1"/>
  <c r="D89" i="1" l="1"/>
  <c r="E89" i="1" s="1"/>
  <c r="F89" i="1" s="1"/>
  <c r="C90" i="1" s="1"/>
  <c r="B90" i="1"/>
  <c r="B91" i="1" l="1"/>
  <c r="D90" i="1"/>
  <c r="E90" i="1" s="1"/>
  <c r="F90" i="1" s="1"/>
  <c r="C91" i="1" s="1"/>
  <c r="B92" i="1" l="1"/>
  <c r="D91" i="1"/>
  <c r="E91" i="1" s="1"/>
  <c r="F91" i="1" s="1"/>
  <c r="C92" i="1" s="1"/>
  <c r="D92" i="1" l="1"/>
  <c r="E92" i="1" s="1"/>
  <c r="F92" i="1" s="1"/>
  <c r="C93" i="1" s="1"/>
  <c r="B93" i="1"/>
  <c r="D93" i="1" l="1"/>
  <c r="E93" i="1" s="1"/>
  <c r="F93" i="1" s="1"/>
  <c r="C94" i="1" s="1"/>
  <c r="B94" i="1"/>
  <c r="B95" i="1" l="1"/>
  <c r="D94" i="1"/>
  <c r="E94" i="1" s="1"/>
  <c r="F94" i="1" s="1"/>
  <c r="C95" i="1" s="1"/>
  <c r="D95" i="1" l="1"/>
  <c r="E95" i="1" s="1"/>
  <c r="F95" i="1" s="1"/>
  <c r="C96" i="1" s="1"/>
  <c r="B96" i="1"/>
  <c r="D96" i="1" l="1"/>
  <c r="E96" i="1" s="1"/>
  <c r="F96" i="1" s="1"/>
  <c r="C97" i="1" s="1"/>
  <c r="B97" i="1"/>
  <c r="D97" i="1" l="1"/>
  <c r="E97" i="1" s="1"/>
  <c r="F97" i="1" s="1"/>
  <c r="C98" i="1" s="1"/>
  <c r="B98" i="1"/>
  <c r="B99" i="1" l="1"/>
  <c r="D98" i="1"/>
  <c r="E98" i="1" s="1"/>
  <c r="F98" i="1" s="1"/>
  <c r="C99" i="1" s="1"/>
  <c r="D99" i="1" l="1"/>
  <c r="E99" i="1" s="1"/>
  <c r="F99" i="1" s="1"/>
  <c r="C100" i="1" s="1"/>
  <c r="B100" i="1"/>
  <c r="D100" i="1" l="1"/>
  <c r="E100" i="1" s="1"/>
  <c r="F100" i="1" s="1"/>
  <c r="C101" i="1" s="1"/>
  <c r="B101" i="1"/>
  <c r="D101" i="1" l="1"/>
  <c r="E101" i="1" s="1"/>
  <c r="F101" i="1" s="1"/>
  <c r="C102" i="1" s="1"/>
  <c r="B102" i="1"/>
  <c r="B103" i="1" l="1"/>
  <c r="D102" i="1"/>
  <c r="E102" i="1" s="1"/>
  <c r="F102" i="1" s="1"/>
  <c r="C103" i="1" s="1"/>
  <c r="B104" i="1" l="1"/>
  <c r="D103" i="1"/>
  <c r="E103" i="1" s="1"/>
  <c r="F103" i="1" s="1"/>
  <c r="C104" i="1" s="1"/>
  <c r="D104" i="1" l="1"/>
  <c r="E104" i="1" s="1"/>
  <c r="F104" i="1" s="1"/>
  <c r="C105" i="1" s="1"/>
  <c r="B105" i="1"/>
  <c r="D105" i="1" l="1"/>
  <c r="E105" i="1" s="1"/>
  <c r="F105" i="1" s="1"/>
  <c r="C106" i="1" s="1"/>
  <c r="B106" i="1"/>
  <c r="B107" i="1" l="1"/>
  <c r="D106" i="1"/>
  <c r="E106" i="1" s="1"/>
  <c r="F106" i="1" s="1"/>
  <c r="C107" i="1" s="1"/>
  <c r="D107" i="1" l="1"/>
  <c r="E107" i="1" s="1"/>
  <c r="F107" i="1" s="1"/>
  <c r="C108" i="1" s="1"/>
  <c r="B108" i="1"/>
  <c r="D108" i="1" l="1"/>
  <c r="E108" i="1" s="1"/>
  <c r="F108" i="1" s="1"/>
  <c r="C109" i="1" s="1"/>
  <c r="B109" i="1"/>
  <c r="B110" i="1" l="1"/>
  <c r="D109" i="1"/>
  <c r="E109" i="1" s="1"/>
  <c r="F109" i="1" s="1"/>
  <c r="C110" i="1" s="1"/>
  <c r="D110" i="1" l="1"/>
  <c r="E110" i="1" s="1"/>
  <c r="F110" i="1" s="1"/>
  <c r="C111" i="1" s="1"/>
  <c r="B111" i="1"/>
  <c r="B112" i="1" l="1"/>
  <c r="D111" i="1"/>
  <c r="E111" i="1" s="1"/>
  <c r="F111" i="1" s="1"/>
  <c r="C112" i="1" s="1"/>
  <c r="D112" i="1" l="1"/>
  <c r="E112" i="1" s="1"/>
  <c r="F112" i="1" s="1"/>
  <c r="C113" i="1" s="1"/>
  <c r="B113" i="1"/>
  <c r="D113" i="1" l="1"/>
  <c r="E113" i="1" s="1"/>
  <c r="F113" i="1" s="1"/>
  <c r="C114" i="1" s="1"/>
  <c r="B114" i="1"/>
  <c r="D114" i="1" l="1"/>
  <c r="E114" i="1" s="1"/>
  <c r="F114" i="1" s="1"/>
  <c r="C115" i="1" s="1"/>
  <c r="B115" i="1"/>
  <c r="B116" i="1" l="1"/>
  <c r="D115" i="1"/>
  <c r="E115" i="1" s="1"/>
  <c r="F115" i="1" s="1"/>
  <c r="C116" i="1" s="1"/>
  <c r="B117" i="1" l="1"/>
  <c r="D116" i="1"/>
  <c r="E116" i="1" s="1"/>
  <c r="F116" i="1" s="1"/>
  <c r="C117" i="1" s="1"/>
  <c r="D117" i="1" l="1"/>
  <c r="E117" i="1" s="1"/>
  <c r="F117" i="1" s="1"/>
  <c r="C118" i="1" s="1"/>
  <c r="B118" i="1"/>
  <c r="D118" i="1" l="1"/>
  <c r="E118" i="1" s="1"/>
  <c r="F118" i="1" s="1"/>
  <c r="C119" i="1" s="1"/>
  <c r="B119" i="1"/>
  <c r="B120" i="1" l="1"/>
  <c r="D119" i="1"/>
  <c r="E119" i="1" s="1"/>
  <c r="F119" i="1" s="1"/>
  <c r="C120" i="1" s="1"/>
  <c r="B121" i="1" l="1"/>
  <c r="D120" i="1"/>
  <c r="E120" i="1" s="1"/>
  <c r="F120" i="1" s="1"/>
  <c r="C121" i="1" s="1"/>
  <c r="D121" i="1" l="1"/>
  <c r="E121" i="1" s="1"/>
  <c r="F121" i="1" s="1"/>
  <c r="C122" i="1" s="1"/>
  <c r="B122" i="1"/>
  <c r="D122" i="1" l="1"/>
  <c r="E122" i="1" s="1"/>
  <c r="F122" i="1" s="1"/>
  <c r="C123" i="1" s="1"/>
  <c r="B123" i="1"/>
  <c r="B124" i="1" l="1"/>
  <c r="D123" i="1"/>
  <c r="E123" i="1" s="1"/>
  <c r="F123" i="1" s="1"/>
  <c r="C124" i="1" s="1"/>
  <c r="D124" i="1" l="1"/>
  <c r="E124" i="1" s="1"/>
  <c r="F124" i="1" s="1"/>
  <c r="C125" i="1" s="1"/>
  <c r="B125" i="1"/>
  <c r="D125" i="1" l="1"/>
  <c r="E125" i="1" s="1"/>
  <c r="F125" i="1" s="1"/>
  <c r="C126" i="1" s="1"/>
  <c r="B126" i="1"/>
  <c r="B127" i="1" l="1"/>
  <c r="D126" i="1"/>
  <c r="E126" i="1" s="1"/>
  <c r="F126" i="1" s="1"/>
  <c r="C127" i="1" s="1"/>
  <c r="B128" i="1" l="1"/>
  <c r="D127" i="1"/>
  <c r="E127" i="1" s="1"/>
  <c r="F127" i="1" s="1"/>
  <c r="C128" i="1" s="1"/>
  <c r="D128" i="1" l="1"/>
  <c r="E128" i="1" s="1"/>
  <c r="F128" i="1" s="1"/>
  <c r="C129" i="1" s="1"/>
  <c r="B129" i="1"/>
  <c r="D129" i="1" l="1"/>
  <c r="E129" i="1" s="1"/>
  <c r="F129" i="1" s="1"/>
  <c r="C130" i="1" s="1"/>
  <c r="B130" i="1"/>
  <c r="B131" i="1" l="1"/>
  <c r="D130" i="1"/>
  <c r="E130" i="1" s="1"/>
  <c r="F130" i="1" s="1"/>
  <c r="C131" i="1" s="1"/>
  <c r="B132" i="1" l="1"/>
  <c r="D131" i="1"/>
  <c r="E131" i="1" s="1"/>
  <c r="F131" i="1" s="1"/>
  <c r="C132" i="1" s="1"/>
  <c r="D132" i="1" l="1"/>
  <c r="E132" i="1" s="1"/>
  <c r="F132" i="1" s="1"/>
  <c r="C133" i="1" s="1"/>
  <c r="B133" i="1"/>
  <c r="B134" i="1" l="1"/>
  <c r="D133" i="1"/>
  <c r="E133" i="1" s="1"/>
  <c r="F133" i="1" s="1"/>
  <c r="C134" i="1" s="1"/>
  <c r="D134" i="1" l="1"/>
  <c r="E134" i="1" s="1"/>
  <c r="F134" i="1" s="1"/>
  <c r="C135" i="1" s="1"/>
  <c r="B135" i="1"/>
  <c r="D135" i="1" l="1"/>
  <c r="E135" i="1" s="1"/>
  <c r="F135" i="1" s="1"/>
  <c r="C136" i="1" s="1"/>
  <c r="B136" i="1"/>
  <c r="B137" i="1" l="1"/>
  <c r="D136" i="1"/>
  <c r="E136" i="1" s="1"/>
  <c r="F136" i="1" s="1"/>
  <c r="C137" i="1" s="1"/>
  <c r="B138" i="1" l="1"/>
  <c r="D137" i="1"/>
  <c r="E137" i="1" s="1"/>
  <c r="F137" i="1" s="1"/>
  <c r="C138" i="1" s="1"/>
  <c r="B139" i="1" l="1"/>
  <c r="D138" i="1"/>
  <c r="E138" i="1" s="1"/>
  <c r="F138" i="1" s="1"/>
  <c r="C139" i="1" s="1"/>
  <c r="D139" i="1" l="1"/>
  <c r="E139" i="1" s="1"/>
  <c r="F139" i="1" s="1"/>
  <c r="C140" i="1" s="1"/>
  <c r="B140" i="1"/>
  <c r="B141" i="1" l="1"/>
  <c r="D140" i="1"/>
  <c r="E140" i="1" s="1"/>
  <c r="F140" i="1" s="1"/>
  <c r="C141" i="1" s="1"/>
  <c r="B142" i="1" l="1"/>
  <c r="D141" i="1"/>
  <c r="E141" i="1" s="1"/>
  <c r="F141" i="1" s="1"/>
  <c r="C142" i="1" s="1"/>
  <c r="D142" i="1" l="1"/>
  <c r="E142" i="1" s="1"/>
  <c r="F142" i="1" s="1"/>
  <c r="C143" i="1" s="1"/>
  <c r="B143" i="1"/>
  <c r="D143" i="1" l="1"/>
  <c r="E143" i="1" s="1"/>
  <c r="F143" i="1" s="1"/>
  <c r="C144" i="1" s="1"/>
  <c r="B144" i="1"/>
  <c r="D144" i="1" l="1"/>
  <c r="E144" i="1" s="1"/>
  <c r="F144" i="1" s="1"/>
  <c r="C145" i="1" s="1"/>
  <c r="B145" i="1"/>
  <c r="D145" i="1" l="1"/>
  <c r="E145" i="1" s="1"/>
  <c r="F145" i="1" s="1"/>
  <c r="C146" i="1" s="1"/>
  <c r="B146" i="1"/>
  <c r="B147" i="1" l="1"/>
  <c r="D146" i="1"/>
  <c r="E146" i="1" s="1"/>
  <c r="F146" i="1" s="1"/>
  <c r="C147" i="1" s="1"/>
  <c r="D147" i="1" l="1"/>
  <c r="E147" i="1" s="1"/>
  <c r="F147" i="1" s="1"/>
  <c r="C148" i="1" s="1"/>
  <c r="B148" i="1"/>
  <c r="D148" i="1" l="1"/>
  <c r="E148" i="1" s="1"/>
  <c r="F148" i="1" s="1"/>
  <c r="C149" i="1" s="1"/>
  <c r="B149" i="1"/>
  <c r="B150" i="1" l="1"/>
  <c r="D149" i="1"/>
  <c r="E149" i="1" s="1"/>
  <c r="F149" i="1" s="1"/>
  <c r="C150" i="1" s="1"/>
  <c r="B151" i="1" l="1"/>
  <c r="D150" i="1"/>
  <c r="E150" i="1" s="1"/>
  <c r="F150" i="1" s="1"/>
  <c r="C151" i="1" s="1"/>
  <c r="D151" i="1" l="1"/>
  <c r="E151" i="1" s="1"/>
  <c r="F151" i="1" s="1"/>
  <c r="C152" i="1" s="1"/>
  <c r="B152" i="1"/>
  <c r="D152" i="1" l="1"/>
  <c r="E152" i="1" s="1"/>
  <c r="F152" i="1" s="1"/>
  <c r="C153" i="1" s="1"/>
  <c r="B153" i="1"/>
  <c r="D153" i="1" l="1"/>
  <c r="E153" i="1" s="1"/>
  <c r="F153" i="1" s="1"/>
  <c r="C154" i="1" s="1"/>
  <c r="B154" i="1"/>
  <c r="D154" i="1" l="1"/>
  <c r="E154" i="1" s="1"/>
  <c r="F154" i="1" s="1"/>
  <c r="C155" i="1" s="1"/>
  <c r="B155" i="1"/>
  <c r="D155" i="1" l="1"/>
  <c r="E155" i="1" s="1"/>
  <c r="F155" i="1" s="1"/>
  <c r="C156" i="1" s="1"/>
  <c r="B156" i="1"/>
  <c r="B157" i="1" l="1"/>
  <c r="D156" i="1"/>
  <c r="E156" i="1" s="1"/>
  <c r="F156" i="1" s="1"/>
  <c r="C157" i="1" s="1"/>
  <c r="D157" i="1" l="1"/>
  <c r="E157" i="1" s="1"/>
  <c r="F157" i="1" s="1"/>
  <c r="C158" i="1" s="1"/>
  <c r="B158" i="1"/>
  <c r="D158" i="1" l="1"/>
  <c r="E158" i="1" s="1"/>
  <c r="F158" i="1" s="1"/>
  <c r="C159" i="1" s="1"/>
  <c r="B159" i="1"/>
  <c r="B160" i="1" l="1"/>
  <c r="D159" i="1"/>
  <c r="E159" i="1" s="1"/>
  <c r="F159" i="1" s="1"/>
  <c r="C160" i="1" s="1"/>
  <c r="B161" i="1" l="1"/>
  <c r="D160" i="1"/>
  <c r="E160" i="1" s="1"/>
  <c r="F160" i="1" s="1"/>
  <c r="C161" i="1" s="1"/>
  <c r="B162" i="1" l="1"/>
  <c r="D161" i="1"/>
  <c r="E161" i="1" s="1"/>
  <c r="F161" i="1" s="1"/>
  <c r="C162" i="1" s="1"/>
  <c r="D162" i="1" l="1"/>
  <c r="E162" i="1" s="1"/>
  <c r="F162" i="1" s="1"/>
  <c r="C163" i="1" s="1"/>
  <c r="B163" i="1"/>
  <c r="D163" i="1" l="1"/>
  <c r="E163" i="1" s="1"/>
  <c r="F163" i="1" s="1"/>
  <c r="C164" i="1" s="1"/>
  <c r="B164" i="1"/>
  <c r="D164" i="1" l="1"/>
  <c r="E164" i="1" s="1"/>
  <c r="F164" i="1" s="1"/>
  <c r="C165" i="1" s="1"/>
  <c r="B165" i="1"/>
  <c r="B166" i="1" l="1"/>
  <c r="D165" i="1"/>
  <c r="E165" i="1" s="1"/>
  <c r="F165" i="1" s="1"/>
  <c r="C166" i="1" s="1"/>
  <c r="D166" i="1" l="1"/>
  <c r="E166" i="1" s="1"/>
  <c r="F166" i="1" s="1"/>
  <c r="C167" i="1" s="1"/>
  <c r="B167" i="1"/>
  <c r="D167" i="1" l="1"/>
  <c r="E167" i="1" s="1"/>
  <c r="F167" i="1" s="1"/>
  <c r="C168" i="1" s="1"/>
  <c r="B168" i="1"/>
  <c r="D168" i="1" l="1"/>
  <c r="E168" i="1" s="1"/>
  <c r="F168" i="1" s="1"/>
  <c r="C169" i="1" s="1"/>
  <c r="B169" i="1"/>
  <c r="B170" i="1" l="1"/>
  <c r="D169" i="1"/>
  <c r="E169" i="1" s="1"/>
  <c r="F169" i="1" s="1"/>
  <c r="C170" i="1" s="1"/>
  <c r="B171" i="1" l="1"/>
  <c r="D170" i="1"/>
  <c r="E170" i="1" s="1"/>
  <c r="F170" i="1" s="1"/>
  <c r="C171" i="1" s="1"/>
  <c r="D171" i="1" l="1"/>
  <c r="E171" i="1" s="1"/>
  <c r="F171" i="1" s="1"/>
  <c r="C172" i="1" s="1"/>
  <c r="B172" i="1"/>
  <c r="B173" i="1" l="1"/>
  <c r="D172" i="1"/>
  <c r="E172" i="1" s="1"/>
  <c r="F172" i="1" s="1"/>
  <c r="C173" i="1" s="1"/>
  <c r="B174" i="1" l="1"/>
  <c r="D173" i="1"/>
  <c r="E173" i="1" s="1"/>
  <c r="F173" i="1" s="1"/>
  <c r="C174" i="1" s="1"/>
  <c r="B175" i="1" l="1"/>
  <c r="D174" i="1"/>
  <c r="E174" i="1" s="1"/>
  <c r="F174" i="1" s="1"/>
  <c r="C175" i="1" s="1"/>
  <c r="B176" i="1" l="1"/>
  <c r="D175" i="1"/>
  <c r="E175" i="1" s="1"/>
  <c r="F175" i="1" s="1"/>
  <c r="C176" i="1" s="1"/>
  <c r="D176" i="1" l="1"/>
  <c r="E176" i="1" s="1"/>
  <c r="F176" i="1" s="1"/>
  <c r="C177" i="1" s="1"/>
  <c r="B177" i="1"/>
  <c r="D177" i="1" l="1"/>
  <c r="E177" i="1" s="1"/>
  <c r="F177" i="1" s="1"/>
  <c r="C178" i="1" s="1"/>
  <c r="B178" i="1"/>
  <c r="D178" i="1" l="1"/>
  <c r="E178" i="1" s="1"/>
  <c r="F178" i="1" s="1"/>
  <c r="C179" i="1" s="1"/>
  <c r="B179" i="1"/>
  <c r="D179" i="1" l="1"/>
  <c r="E179" i="1" s="1"/>
  <c r="F179" i="1" s="1"/>
  <c r="C180" i="1" s="1"/>
  <c r="B180" i="1"/>
  <c r="B181" i="1" l="1"/>
  <c r="D180" i="1"/>
  <c r="E180" i="1" s="1"/>
  <c r="F180" i="1" s="1"/>
  <c r="C181" i="1" s="1"/>
  <c r="B182" i="1" l="1"/>
  <c r="D181" i="1"/>
  <c r="E181" i="1" s="1"/>
  <c r="F181" i="1" s="1"/>
  <c r="C182" i="1" s="1"/>
  <c r="D182" i="1" l="1"/>
  <c r="E182" i="1" s="1"/>
  <c r="F182" i="1" s="1"/>
  <c r="C183" i="1" s="1"/>
  <c r="B183" i="1"/>
  <c r="B184" i="1" l="1"/>
  <c r="D183" i="1"/>
  <c r="E183" i="1" s="1"/>
  <c r="F183" i="1" s="1"/>
  <c r="C184" i="1" s="1"/>
  <c r="B185" i="1" l="1"/>
  <c r="D184" i="1"/>
  <c r="E184" i="1" s="1"/>
  <c r="F184" i="1" s="1"/>
  <c r="C185" i="1" s="1"/>
  <c r="B186" i="1" l="1"/>
  <c r="D185" i="1"/>
  <c r="E185" i="1" s="1"/>
  <c r="F185" i="1" s="1"/>
  <c r="C186" i="1" s="1"/>
  <c r="B187" i="1" l="1"/>
  <c r="D186" i="1"/>
  <c r="E186" i="1" s="1"/>
  <c r="F186" i="1" s="1"/>
  <c r="C187" i="1" s="1"/>
  <c r="D187" i="1" l="1"/>
  <c r="E187" i="1" s="1"/>
  <c r="F187" i="1" s="1"/>
  <c r="C188" i="1" s="1"/>
  <c r="B188" i="1"/>
  <c r="D188" i="1" l="1"/>
  <c r="E188" i="1" s="1"/>
  <c r="F188" i="1" s="1"/>
  <c r="C189" i="1" s="1"/>
  <c r="B189" i="1"/>
  <c r="D189" i="1" l="1"/>
  <c r="E189" i="1" s="1"/>
  <c r="F189" i="1" s="1"/>
  <c r="C190" i="1" s="1"/>
  <c r="B190" i="1"/>
  <c r="B191" i="1" l="1"/>
  <c r="D190" i="1"/>
  <c r="E190" i="1" s="1"/>
  <c r="F190" i="1" s="1"/>
  <c r="C191" i="1" s="1"/>
  <c r="B192" i="1" l="1"/>
  <c r="D191" i="1"/>
  <c r="E191" i="1" s="1"/>
  <c r="F191" i="1" s="1"/>
  <c r="C192" i="1" s="1"/>
  <c r="D192" i="1" l="1"/>
  <c r="E192" i="1" s="1"/>
  <c r="F192" i="1" s="1"/>
  <c r="C193" i="1" s="1"/>
  <c r="B193" i="1"/>
  <c r="B194" i="1" l="1"/>
  <c r="D193" i="1"/>
  <c r="E193" i="1" s="1"/>
  <c r="F193" i="1" s="1"/>
  <c r="C194" i="1" s="1"/>
  <c r="D194" i="1" l="1"/>
  <c r="E194" i="1" s="1"/>
  <c r="F194" i="1" s="1"/>
  <c r="C195" i="1" s="1"/>
  <c r="B195" i="1"/>
  <c r="D195" i="1" l="1"/>
  <c r="E195" i="1" s="1"/>
  <c r="F195" i="1" s="1"/>
  <c r="C196" i="1" s="1"/>
  <c r="B196" i="1"/>
  <c r="B197" i="1" l="1"/>
  <c r="D196" i="1"/>
  <c r="E196" i="1" s="1"/>
  <c r="F196" i="1" s="1"/>
  <c r="C197" i="1" s="1"/>
  <c r="B198" i="1" l="1"/>
  <c r="D197" i="1"/>
  <c r="E197" i="1" s="1"/>
  <c r="F197" i="1" s="1"/>
  <c r="C198" i="1" s="1"/>
  <c r="D198" i="1" l="1"/>
  <c r="E198" i="1" s="1"/>
  <c r="F198" i="1" s="1"/>
  <c r="C199" i="1" s="1"/>
  <c r="B199" i="1"/>
  <c r="D199" i="1" l="1"/>
  <c r="E199" i="1" s="1"/>
  <c r="F199" i="1" s="1"/>
  <c r="C200" i="1" s="1"/>
  <c r="B200" i="1"/>
  <c r="B201" i="1" l="1"/>
  <c r="D200" i="1"/>
  <c r="E200" i="1" s="1"/>
  <c r="F200" i="1" s="1"/>
  <c r="C201" i="1" s="1"/>
  <c r="B202" i="1" l="1"/>
  <c r="D201" i="1"/>
  <c r="E201" i="1" s="1"/>
  <c r="F201" i="1" s="1"/>
  <c r="C202" i="1" s="1"/>
  <c r="B203" i="1" l="1"/>
  <c r="D202" i="1"/>
  <c r="E202" i="1" s="1"/>
  <c r="F202" i="1" s="1"/>
  <c r="C203" i="1" s="1"/>
  <c r="D203" i="1" l="1"/>
  <c r="E203" i="1" s="1"/>
  <c r="F203" i="1" s="1"/>
  <c r="C204" i="1" s="1"/>
  <c r="B204" i="1"/>
  <c r="D204" i="1" l="1"/>
  <c r="E204" i="1" s="1"/>
  <c r="F204" i="1" s="1"/>
  <c r="C205" i="1" s="1"/>
  <c r="B205" i="1"/>
  <c r="B206" i="1" l="1"/>
  <c r="D205" i="1"/>
  <c r="E205" i="1" s="1"/>
  <c r="F205" i="1" s="1"/>
  <c r="C206" i="1" s="1"/>
  <c r="B207" i="1" l="1"/>
  <c r="D206" i="1"/>
  <c r="E206" i="1" s="1"/>
  <c r="F206" i="1" s="1"/>
  <c r="C207" i="1" s="1"/>
  <c r="D207" i="1" l="1"/>
  <c r="E207" i="1" s="1"/>
  <c r="B208" i="1"/>
  <c r="F207" i="1"/>
  <c r="C208" i="1" s="1"/>
  <c r="D208" i="1" l="1"/>
  <c r="E208" i="1" s="1"/>
  <c r="F208" i="1" s="1"/>
  <c r="C209" i="1" s="1"/>
  <c r="B209" i="1"/>
  <c r="B210" i="1" l="1"/>
  <c r="D209" i="1"/>
  <c r="E209" i="1" s="1"/>
  <c r="F209" i="1" s="1"/>
  <c r="C210" i="1" s="1"/>
  <c r="D210" i="1" l="1"/>
  <c r="E210" i="1" s="1"/>
  <c r="F210" i="1" s="1"/>
  <c r="C211" i="1" s="1"/>
  <c r="B211" i="1"/>
  <c r="D211" i="1" l="1"/>
  <c r="E211" i="1" s="1"/>
  <c r="F211" i="1" s="1"/>
  <c r="C212" i="1" s="1"/>
  <c r="B212" i="1"/>
  <c r="B213" i="1" l="1"/>
  <c r="D212" i="1"/>
  <c r="E212" i="1" s="1"/>
  <c r="F212" i="1" s="1"/>
  <c r="C213" i="1" s="1"/>
  <c r="B214" i="1" l="1"/>
  <c r="D213" i="1"/>
  <c r="E213" i="1" s="1"/>
  <c r="F213" i="1" s="1"/>
  <c r="C214" i="1" s="1"/>
  <c r="D214" i="1" l="1"/>
  <c r="E214" i="1" s="1"/>
  <c r="F214" i="1" s="1"/>
  <c r="C215" i="1" s="1"/>
  <c r="B215" i="1"/>
  <c r="D215" i="1" l="1"/>
  <c r="E215" i="1" s="1"/>
  <c r="F215" i="1" s="1"/>
  <c r="C216" i="1" s="1"/>
  <c r="B216" i="1"/>
  <c r="D216" i="1" l="1"/>
  <c r="E216" i="1" s="1"/>
  <c r="F216" i="1" s="1"/>
  <c r="C217" i="1" s="1"/>
  <c r="B217" i="1"/>
  <c r="D217" i="1" s="1"/>
  <c r="E217" i="1" s="1"/>
  <c r="F217" i="1" s="1"/>
</calcChain>
</file>

<file path=xl/sharedStrings.xml><?xml version="1.0" encoding="utf-8"?>
<sst xmlns="http://schemas.openxmlformats.org/spreadsheetml/2006/main" count="19" uniqueCount="19">
  <si>
    <t>Paramètres du sytème</t>
  </si>
  <si>
    <t>L(m)</t>
  </si>
  <si>
    <t>e(m)</t>
  </si>
  <si>
    <t>d(m)</t>
  </si>
  <si>
    <t>a(m)</t>
  </si>
  <si>
    <t>h(m)</t>
  </si>
  <si>
    <t>m1 (kg)</t>
  </si>
  <si>
    <t>IG1 (Kg.m²)</t>
  </si>
  <si>
    <t>F (N)</t>
  </si>
  <si>
    <t>g (m/s²)</t>
  </si>
  <si>
    <t>tmax (s)</t>
  </si>
  <si>
    <t>dt (s)</t>
  </si>
  <si>
    <t>I0 (Kg.m²)</t>
  </si>
  <si>
    <t>t(s)</t>
  </si>
  <si>
    <t>ɵ(rad)</t>
  </si>
  <si>
    <t>w (rad/s)</t>
  </si>
  <si>
    <t>u(ɵ)</t>
  </si>
  <si>
    <t>Moment_verin</t>
  </si>
  <si>
    <t>a (rad/s²)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</si>
</sst>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Feuil1!$B$16</c:f>
              <c:strCache>
                <c:ptCount val="1"/>
                <c:pt idx="0">
                  <c:v>ɵ(rad)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Feuil1!$A$17:$A$217</c:f>
              <c:numCache>
                <c:formatCode>General</c:formatCode>
                <c:ptCount val="2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</c:numCache>
            </c:numRef>
          </c:xVal>
          <c:yVal>
            <c:numRef>
              <c:f>Feuil1!$B$17:$B$217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2.3785673882924376E-2</c:v>
                </c:pt>
                <c:pt idx="3">
                  <c:v>7.1357021648773125E-2</c:v>
                </c:pt>
                <c:pt idx="4">
                  <c:v>0.14524169217454738</c:v>
                </c:pt>
                <c:pt idx="5">
                  <c:v>0.24928989800797408</c:v>
                </c:pt>
                <c:pt idx="6">
                  <c:v>0.38723246263486943</c:v>
                </c:pt>
                <c:pt idx="7">
                  <c:v>0.56172087713250241</c:v>
                </c:pt>
                <c:pt idx="8">
                  <c:v>0.77408873494592234</c:v>
                </c:pt>
                <c:pt idx="9">
                  <c:v>1.0244851559412251</c:v>
                </c:pt>
                <c:pt idx="10">
                  <c:v>1.3120113999088963</c:v>
                </c:pt>
                <c:pt idx="11">
                  <c:v>1.6347379228588195</c:v>
                </c:pt>
                <c:pt idx="12">
                  <c:v>1.9896222301751187</c:v>
                </c:pt>
                <c:pt idx="13">
                  <c:v>2.3723846621991291</c:v>
                </c:pt>
                <c:pt idx="14">
                  <c:v>2.7774041235800575</c:v>
                </c:pt>
                <c:pt idx="15">
                  <c:v>3.1976986069508024</c:v>
                </c:pt>
                <c:pt idx="16">
                  <c:v>3.6250551351951943</c:v>
                </c:pt>
                <c:pt idx="17">
                  <c:v>4.0503579421355562</c:v>
                </c:pt>
                <c:pt idx="18">
                  <c:v>4.464120938869816</c:v>
                </c:pt>
                <c:pt idx="19">
                  <c:v>4.857164315358788</c:v>
                </c:pt>
                <c:pt idx="20">
                  <c:v>5.2213135472461873</c:v>
                </c:pt>
                <c:pt idx="21">
                  <c:v>5.5499877644882787</c:v>
                </c:pt>
                <c:pt idx="22">
                  <c:v>5.8386335185118403</c:v>
                </c:pt>
                <c:pt idx="23">
                  <c:v>6.0852847706269664</c:v>
                </c:pt>
                <c:pt idx="24">
                  <c:v>6.2932044801295923</c:v>
                </c:pt>
                <c:pt idx="25">
                  <c:v>6.4873906209831</c:v>
                </c:pt>
                <c:pt idx="26">
                  <c:v>6.7064828504801604</c:v>
                </c:pt>
                <c:pt idx="27">
                  <c:v>6.9612283446336285</c:v>
                </c:pt>
                <c:pt idx="28">
                  <c:v>7.253983848555972</c:v>
                </c:pt>
                <c:pt idx="29">
                  <c:v>7.5843803555254219</c:v>
                </c:pt>
                <c:pt idx="30">
                  <c:v>7.9504535597001142</c:v>
                </c:pt>
                <c:pt idx="31">
                  <c:v>8.3488128922949372</c:v>
                </c:pt>
                <c:pt idx="32">
                  <c:v>8.7745730690902128</c:v>
                </c:pt>
                <c:pt idx="33">
                  <c:v>9.2212743968952715</c:v>
                </c:pt>
                <c:pt idx="34">
                  <c:v>9.6809144056792498</c:v>
                </c:pt>
                <c:pt idx="35">
                  <c:v>10.144183349886468</c:v>
                </c:pt>
                <c:pt idx="36">
                  <c:v>10.600957988298024</c:v>
                </c:pt>
                <c:pt idx="37">
                  <c:v>11.041034970874218</c:v>
                </c:pt>
                <c:pt idx="38">
                  <c:v>11.454990902796533</c:v>
                </c:pt>
                <c:pt idx="39">
                  <c:v>11.83499692601843</c:v>
                </c:pt>
                <c:pt idx="40">
                  <c:v>12.175480489710711</c:v>
                </c:pt>
                <c:pt idx="41">
                  <c:v>12.473968286964526</c:v>
                </c:pt>
                <c:pt idx="42">
                  <c:v>12.735976511943457</c:v>
                </c:pt>
                <c:pt idx="43">
                  <c:v>13.007053903442481</c:v>
                </c:pt>
                <c:pt idx="44">
                  <c:v>13.312851320015913</c:v>
                </c:pt>
                <c:pt idx="45">
                  <c:v>13.656699576780024</c:v>
                </c:pt>
                <c:pt idx="46">
                  <c:v>14.037839764414207</c:v>
                </c:pt>
                <c:pt idx="47">
                  <c:v>14.453554314406889</c:v>
                </c:pt>
                <c:pt idx="48">
                  <c:v>14.899418293038341</c:v>
                </c:pt>
                <c:pt idx="49">
                  <c:v>15.369252650314206</c:v>
                </c:pt>
                <c:pt idx="50">
                  <c:v>15.855118359355799</c:v>
                </c:pt>
                <c:pt idx="51">
                  <c:v>16.347507232113454</c:v>
                </c:pt>
                <c:pt idx="52">
                  <c:v>16.835824461999941</c:v>
                </c:pt>
                <c:pt idx="53">
                  <c:v>17.309175530279596</c:v>
                </c:pt>
                <c:pt idx="54">
                  <c:v>17.757352129139029</c:v>
                </c:pt>
                <c:pt idx="55">
                  <c:v>18.171818723326886</c:v>
                </c:pt>
                <c:pt idx="56">
                  <c:v>18.546561945476057</c:v>
                </c:pt>
                <c:pt idx="57">
                  <c:v>18.879346738468428</c:v>
                </c:pt>
                <c:pt idx="58">
                  <c:v>19.182297952500889</c:v>
                </c:pt>
                <c:pt idx="59">
                  <c:v>19.512131208953267</c:v>
                </c:pt>
                <c:pt idx="60">
                  <c:v>19.879504016910726</c:v>
                </c:pt>
                <c:pt idx="61">
                  <c:v>20.284585397641703</c:v>
                </c:pt>
                <c:pt idx="62">
                  <c:v>20.724816839489243</c:v>
                </c:pt>
                <c:pt idx="63">
                  <c:v>21.195675472031368</c:v>
                </c:pt>
                <c:pt idx="64">
                  <c:v>21.69069927690969</c:v>
                </c:pt>
                <c:pt idx="65">
                  <c:v>22.201504013327984</c:v>
                </c:pt>
                <c:pt idx="66">
                  <c:v>22.718018586115953</c:v>
                </c:pt>
                <c:pt idx="67">
                  <c:v>23.22905708923518</c:v>
                </c:pt>
                <c:pt idx="68">
                  <c:v>23.7232370247105</c:v>
                </c:pt>
                <c:pt idx="69">
                  <c:v>24.19010828575901</c:v>
                </c:pt>
                <c:pt idx="70">
                  <c:v>24.621261197709913</c:v>
                </c:pt>
                <c:pt idx="71">
                  <c:v>25.011354044676217</c:v>
                </c:pt>
                <c:pt idx="72">
                  <c:v>25.361005570924132</c:v>
                </c:pt>
                <c:pt idx="73">
                  <c:v>25.713604743090062</c:v>
                </c:pt>
                <c:pt idx="74">
                  <c:v>26.102372623123177</c:v>
                </c:pt>
                <c:pt idx="75">
                  <c:v>26.529126015412377</c:v>
                </c:pt>
                <c:pt idx="76">
                  <c:v>26.991566110809515</c:v>
                </c:pt>
                <c:pt idx="77">
                  <c:v>27.48512804786052</c:v>
                </c:pt>
                <c:pt idx="78">
                  <c:v>28.003122077022979</c:v>
                </c:pt>
                <c:pt idx="79">
                  <c:v>28.536776651082761</c:v>
                </c:pt>
                <c:pt idx="80">
                  <c:v>29.075516415801935</c:v>
                </c:pt>
                <c:pt idx="81">
                  <c:v>29.607621592504149</c:v>
                </c:pt>
                <c:pt idx="82">
                  <c:v>30.121276091964909</c:v>
                </c:pt>
                <c:pt idx="83">
                  <c:v>30.605838591368091</c:v>
                </c:pt>
                <c:pt idx="84">
                  <c:v>31.053078595253016</c:v>
                </c:pt>
                <c:pt idx="85">
                  <c:v>31.458502673719725</c:v>
                </c:pt>
                <c:pt idx="86">
                  <c:v>31.829081995137198</c:v>
                </c:pt>
                <c:pt idx="87">
                  <c:v>32.227669175187721</c:v>
                </c:pt>
                <c:pt idx="88">
                  <c:v>32.664236195387801</c:v>
                </c:pt>
                <c:pt idx="89">
                  <c:v>33.137693908344659</c:v>
                </c:pt>
                <c:pt idx="90">
                  <c:v>33.644050319678769</c:v>
                </c:pt>
                <c:pt idx="91">
                  <c:v>34.176990160038578</c:v>
                </c:pt>
                <c:pt idx="92">
                  <c:v>34.727937405548523</c:v>
                </c:pt>
                <c:pt idx="93">
                  <c:v>35.286291129048287</c:v>
                </c:pt>
                <c:pt idx="94">
                  <c:v>35.840056508945935</c:v>
                </c:pt>
                <c:pt idx="95">
                  <c:v>36.376922349368613</c:v>
                </c:pt>
                <c:pt idx="96">
                  <c:v>36.885636950992357</c:v>
                </c:pt>
                <c:pt idx="97">
                  <c:v>37.357399150368082</c:v>
                </c:pt>
                <c:pt idx="98">
                  <c:v>37.787358338204761</c:v>
                </c:pt>
                <c:pt idx="99">
                  <c:v>38.18397608839097</c:v>
                </c:pt>
                <c:pt idx="100">
                  <c:v>38.611811582885835</c:v>
                </c:pt>
                <c:pt idx="101">
                  <c:v>39.077746402412053</c:v>
                </c:pt>
                <c:pt idx="102">
                  <c:v>39.579837113726562</c:v>
                </c:pt>
                <c:pt idx="103">
                  <c:v>40.113272665377892</c:v>
                </c:pt>
                <c:pt idx="104">
                  <c:v>40.670784234701763</c:v>
                </c:pt>
                <c:pt idx="105">
                  <c:v>41.242758745982606</c:v>
                </c:pt>
                <c:pt idx="106">
                  <c:v>41.817635242106064</c:v>
                </c:pt>
                <c:pt idx="107">
                  <c:v>42.382774348069333</c:v>
                </c:pt>
                <c:pt idx="108">
                  <c:v>42.925781792685697</c:v>
                </c:pt>
                <c:pt idx="109">
                  <c:v>43.436043695969502</c:v>
                </c:pt>
                <c:pt idx="110">
                  <c:v>43.906224928407028</c:v>
                </c:pt>
                <c:pt idx="111">
                  <c:v>44.33539894088819</c:v>
                </c:pt>
                <c:pt idx="112">
                  <c:v>44.776825512710509</c:v>
                </c:pt>
                <c:pt idx="113">
                  <c:v>45.255941438932346</c:v>
                </c:pt>
                <c:pt idx="114">
                  <c:v>45.772059888562048</c:v>
                </c:pt>
                <c:pt idx="115">
                  <c:v>46.320786705251514</c:v>
                </c:pt>
                <c:pt idx="116">
                  <c:v>46.895046477312619</c:v>
                </c:pt>
                <c:pt idx="117">
                  <c:v>47.485233461290854</c:v>
                </c:pt>
                <c:pt idx="118">
                  <c:v>48.079595904502419</c:v>
                </c:pt>
                <c:pt idx="119">
                  <c:v>48.66512472894297</c:v>
                </c:pt>
                <c:pt idx="120">
                  <c:v>49.228959245953234</c:v>
                </c:pt>
                <c:pt idx="121">
                  <c:v>49.76006207527238</c:v>
                </c:pt>
                <c:pt idx="122">
                  <c:v>50.250893949335165</c:v>
                </c:pt>
                <c:pt idx="123">
                  <c:v>50.701402353464182</c:v>
                </c:pt>
                <c:pt idx="124">
                  <c:v>51.173909690143255</c:v>
                </c:pt>
                <c:pt idx="125">
                  <c:v>51.684457997472101</c:v>
                </c:pt>
                <c:pt idx="126">
                  <c:v>52.231195878592423</c:v>
                </c:pt>
                <c:pt idx="127">
                  <c:v>52.808767954295313</c:v>
                </c:pt>
                <c:pt idx="128">
                  <c:v>53.409003227174537</c:v>
                </c:pt>
                <c:pt idx="129">
                  <c:v>54.021136809593713</c:v>
                </c:pt>
                <c:pt idx="130">
                  <c:v>54.632412799987513</c:v>
                </c:pt>
                <c:pt idx="131">
                  <c:v>55.229278598577864</c:v>
                </c:pt>
                <c:pt idx="132">
                  <c:v>55.799075532106315</c:v>
                </c:pt>
                <c:pt idx="133">
                  <c:v>56.331881997384009</c:v>
                </c:pt>
                <c:pt idx="134">
                  <c:v>56.82271203089352</c:v>
                </c:pt>
                <c:pt idx="135">
                  <c:v>57.296148387082525</c:v>
                </c:pt>
                <c:pt idx="136">
                  <c:v>57.806500542517533</c:v>
                </c:pt>
                <c:pt idx="137">
                  <c:v>58.354138960862741</c:v>
                </c:pt>
                <c:pt idx="138">
                  <c:v>58.9345676219925</c:v>
                </c:pt>
                <c:pt idx="139">
                  <c:v>59.540281810199815</c:v>
                </c:pt>
                <c:pt idx="140">
                  <c:v>60.161009285536686</c:v>
                </c:pt>
                <c:pt idx="141">
                  <c:v>60.784205738913656</c:v>
                </c:pt>
                <c:pt idx="142">
                  <c:v>61.396143339250706</c:v>
                </c:pt>
                <c:pt idx="143">
                  <c:v>61.983579277837357</c:v>
                </c:pt>
                <c:pt idx="144">
                  <c:v>62.535684350075371</c:v>
                </c:pt>
                <c:pt idx="145">
                  <c:v>63.046140484254614</c:v>
                </c:pt>
                <c:pt idx="146">
                  <c:v>63.527498924416086</c:v>
                </c:pt>
                <c:pt idx="147">
                  <c:v>64.044738489620926</c:v>
                </c:pt>
                <c:pt idx="148">
                  <c:v>64.599536877186807</c:v>
                </c:pt>
                <c:pt idx="149">
                  <c:v>65.187630147862677</c:v>
                </c:pt>
                <c:pt idx="150">
                  <c:v>65.80160115342494</c:v>
                </c:pt>
                <c:pt idx="151">
                  <c:v>66.431167494251838</c:v>
                </c:pt>
                <c:pt idx="152">
                  <c:v>67.06367755189531</c:v>
                </c:pt>
                <c:pt idx="153">
                  <c:v>67.685216864799315</c:v>
                </c:pt>
                <c:pt idx="154">
                  <c:v>68.282328587634424</c:v>
                </c:pt>
                <c:pt idx="155">
                  <c:v>68.844021716404114</c:v>
                </c:pt>
                <c:pt idx="156">
                  <c:v>69.363992300757175</c:v>
                </c:pt>
                <c:pt idx="157">
                  <c:v>69.857925105976705</c:v>
                </c:pt>
                <c:pt idx="158">
                  <c:v>70.388398215943255</c:v>
                </c:pt>
                <c:pt idx="159">
                  <c:v>70.956183500193774</c:v>
                </c:pt>
                <c:pt idx="160">
                  <c:v>71.556580443277397</c:v>
                </c:pt>
                <c:pt idx="161">
                  <c:v>72.181694497303383</c:v>
                </c:pt>
                <c:pt idx="162">
                  <c:v>72.820734419971714</c:v>
                </c:pt>
                <c:pt idx="163">
                  <c:v>73.460605706490881</c:v>
                </c:pt>
                <c:pt idx="164">
                  <c:v>74.087161008803662</c:v>
                </c:pt>
                <c:pt idx="165">
                  <c:v>74.687057407861118</c:v>
                </c:pt>
                <c:pt idx="166">
                  <c:v>75.249850728542967</c:v>
                </c:pt>
                <c:pt idx="167">
                  <c:v>75.77064484726904</c:v>
                </c:pt>
                <c:pt idx="168">
                  <c:v>76.28838614767885</c:v>
                </c:pt>
                <c:pt idx="169">
                  <c:v>76.843933095724807</c:v>
                </c:pt>
                <c:pt idx="170">
                  <c:v>77.435811121724342</c:v>
                </c:pt>
                <c:pt idx="171">
                  <c:v>78.058177445061332</c:v>
                </c:pt>
                <c:pt idx="172">
                  <c:v>78.701974697997343</c:v>
                </c:pt>
                <c:pt idx="173">
                  <c:v>79.355287765023377</c:v>
                </c:pt>
                <c:pt idx="174">
                  <c:v>80.004195988515406</c:v>
                </c:pt>
                <c:pt idx="175">
                  <c:v>80.634349589451077</c:v>
                </c:pt>
                <c:pt idx="176">
                  <c:v>81.233073892364899</c:v>
                </c:pt>
                <c:pt idx="177">
                  <c:v>81.791626615529367</c:v>
                </c:pt>
                <c:pt idx="178">
                  <c:v>82.311323481845605</c:v>
                </c:pt>
                <c:pt idx="179">
                  <c:v>82.863414344683278</c:v>
                </c:pt>
                <c:pt idx="180">
                  <c:v>83.453341352799526</c:v>
                </c:pt>
                <c:pt idx="181">
                  <c:v>84.076899147279306</c:v>
                </c:pt>
                <c:pt idx="182">
                  <c:v>84.726268605131082</c:v>
                </c:pt>
                <c:pt idx="183">
                  <c:v>85.390465050686544</c:v>
                </c:pt>
                <c:pt idx="184">
                  <c:v>86.055969771473954</c:v>
                </c:pt>
                <c:pt idx="185">
                  <c:v>86.708084752990914</c:v>
                </c:pt>
                <c:pt idx="186">
                  <c:v>87.332985178614635</c:v>
                </c:pt>
                <c:pt idx="187">
                  <c:v>87.920066571352891</c:v>
                </c:pt>
                <c:pt idx="188">
                  <c:v>88.465358147007578</c:v>
                </c:pt>
                <c:pt idx="189">
                  <c:v>89.028360666769061</c:v>
                </c:pt>
                <c:pt idx="190">
                  <c:v>89.629462695107705</c:v>
                </c:pt>
                <c:pt idx="191">
                  <c:v>90.265396960141899</c:v>
                </c:pt>
                <c:pt idx="192">
                  <c:v>90.928767553373319</c:v>
                </c:pt>
                <c:pt idx="193">
                  <c:v>91.608783275412605</c:v>
                </c:pt>
                <c:pt idx="194">
                  <c:v>92.291863561459252</c:v>
                </c:pt>
                <c:pt idx="195">
                  <c:v>92.962981636313899</c:v>
                </c:pt>
                <c:pt idx="196">
                  <c:v>93.607794333525391</c:v>
                </c:pt>
                <c:pt idx="197">
                  <c:v>94.215154461224856</c:v>
                </c:pt>
                <c:pt idx="198">
                  <c:v>94.780683214549313</c:v>
                </c:pt>
                <c:pt idx="199">
                  <c:v>95.365730974927075</c:v>
                </c:pt>
                <c:pt idx="200">
                  <c:v>95.988854130121382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2C-40F7-AC6A-EBEB28A2E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4402271"/>
        <c:axId val="1184404671"/>
      </c:scatterChart>
      <c:valAx>
        <c:axId val="1184402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84404671"/>
        <c:crosses val="autoZero"/>
        <c:crossBetween val="midCat"/>
      </c:valAx>
      <c:valAx>
        <c:axId val="118440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84402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Feuil1!$C$16</c:f>
              <c:strCache>
                <c:ptCount val="1"/>
                <c:pt idx="0">
                  <c:v>w (rad/s)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Feuil1!$A$17:$A$217</c:f>
              <c:numCache>
                <c:formatCode>General</c:formatCode>
                <c:ptCount val="2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</c:numCache>
            </c:numRef>
          </c:xVal>
          <c:yVal>
            <c:numRef>
              <c:f>Feuil1!$C$17:$C$217</c:f>
              <c:numCache>
                <c:formatCode>General</c:formatCode>
                <c:ptCount val="201"/>
                <c:pt idx="0">
                  <c:v>0</c:v>
                </c:pt>
                <c:pt idx="1">
                  <c:v>2.3785673882924376</c:v>
                </c:pt>
                <c:pt idx="2">
                  <c:v>4.7571347765848753</c:v>
                </c:pt>
                <c:pt idx="3">
                  <c:v>7.3884670525774254</c:v>
                </c:pt>
                <c:pt idx="4">
                  <c:v>10.404820583342671</c:v>
                </c:pt>
                <c:pt idx="5">
                  <c:v>13.794256462689539</c:v>
                </c:pt>
                <c:pt idx="6">
                  <c:v>17.448841449763293</c:v>
                </c:pt>
                <c:pt idx="7">
                  <c:v>21.23678578134199</c:v>
                </c:pt>
                <c:pt idx="8">
                  <c:v>25.03964209953029</c:v>
                </c:pt>
                <c:pt idx="9">
                  <c:v>28.752624396767125</c:v>
                </c:pt>
                <c:pt idx="10">
                  <c:v>32.272652294992312</c:v>
                </c:pt>
                <c:pt idx="11">
                  <c:v>35.488430731629933</c:v>
                </c:pt>
                <c:pt idx="12">
                  <c:v>38.27624320240102</c:v>
                </c:pt>
                <c:pt idx="13">
                  <c:v>40.501946138092855</c:v>
                </c:pt>
                <c:pt idx="14">
                  <c:v>42.029448337074484</c:v>
                </c:pt>
                <c:pt idx="15">
                  <c:v>42.735652824439178</c:v>
                </c:pt>
                <c:pt idx="16">
                  <c:v>42.530280694036222</c:v>
                </c:pt>
                <c:pt idx="17">
                  <c:v>41.37629967342594</c:v>
                </c:pt>
                <c:pt idx="18">
                  <c:v>39.304337648897238</c:v>
                </c:pt>
                <c:pt idx="19">
                  <c:v>36.414923188739955</c:v>
                </c:pt>
                <c:pt idx="20">
                  <c:v>32.867421724209088</c:v>
                </c:pt>
                <c:pt idx="21">
                  <c:v>28.864575402356181</c:v>
                </c:pt>
                <c:pt idx="22">
                  <c:v>24.665125211512585</c:v>
                </c:pt>
                <c:pt idx="23">
                  <c:v>20.791970950262598</c:v>
                </c:pt>
                <c:pt idx="24">
                  <c:v>19.418614085350811</c:v>
                </c:pt>
                <c:pt idx="25">
                  <c:v>21.909222949706059</c:v>
                </c:pt>
                <c:pt idx="26">
                  <c:v>25.474549415346836</c:v>
                </c:pt>
                <c:pt idx="27">
                  <c:v>29.275550392234358</c:v>
                </c:pt>
                <c:pt idx="28">
                  <c:v>33.039650696945017</c:v>
                </c:pt>
                <c:pt idx="29">
                  <c:v>36.607320417469225</c:v>
                </c:pt>
                <c:pt idx="30">
                  <c:v>39.835933259482239</c:v>
                </c:pt>
                <c:pt idx="31">
                  <c:v>42.576017679527531</c:v>
                </c:pt>
                <c:pt idx="32">
                  <c:v>44.670132780505853</c:v>
                </c:pt>
                <c:pt idx="33">
                  <c:v>45.964000878397897</c:v>
                </c:pt>
                <c:pt idx="34">
                  <c:v>46.326894420721885</c:v>
                </c:pt>
                <c:pt idx="35">
                  <c:v>45.6774638411555</c:v>
                </c:pt>
                <c:pt idx="36">
                  <c:v>44.007698257619495</c:v>
                </c:pt>
                <c:pt idx="37">
                  <c:v>41.395593192231487</c:v>
                </c:pt>
                <c:pt idx="38">
                  <c:v>38.000602322189629</c:v>
                </c:pt>
                <c:pt idx="39">
                  <c:v>34.048356369228195</c:v>
                </c:pt>
                <c:pt idx="40">
                  <c:v>29.848779725381444</c:v>
                </c:pt>
                <c:pt idx="41">
                  <c:v>26.200822497893213</c:v>
                </c:pt>
                <c:pt idx="42">
                  <c:v>27.107739149902269</c:v>
                </c:pt>
                <c:pt idx="43">
                  <c:v>30.579741657343099</c:v>
                </c:pt>
                <c:pt idx="44">
                  <c:v>34.384825676411126</c:v>
                </c:pt>
                <c:pt idx="45">
                  <c:v>38.114018763418159</c:v>
                </c:pt>
                <c:pt idx="46">
                  <c:v>41.571454999268177</c:v>
                </c:pt>
                <c:pt idx="47">
                  <c:v>44.586397863145173</c:v>
                </c:pt>
                <c:pt idx="48">
                  <c:v>46.983435727586432</c:v>
                </c:pt>
                <c:pt idx="49">
                  <c:v>48.586570904159295</c:v>
                </c:pt>
                <c:pt idx="50">
                  <c:v>49.23888727576535</c:v>
                </c:pt>
                <c:pt idx="51">
                  <c:v>48.831722988648849</c:v>
                </c:pt>
                <c:pt idx="52">
                  <c:v>47.335106827965326</c:v>
                </c:pt>
                <c:pt idx="53">
                  <c:v>44.817659885943399</c:v>
                </c:pt>
                <c:pt idx="54">
                  <c:v>41.446659418785842</c:v>
                </c:pt>
                <c:pt idx="55">
                  <c:v>37.474322214916967</c:v>
                </c:pt>
                <c:pt idx="56">
                  <c:v>33.278479299237055</c:v>
                </c:pt>
                <c:pt idx="57">
                  <c:v>30.295121403246274</c:v>
                </c:pt>
                <c:pt idx="58">
                  <c:v>32.983325645237791</c:v>
                </c:pt>
                <c:pt idx="59">
                  <c:v>36.737280795745981</c:v>
                </c:pt>
                <c:pt idx="60">
                  <c:v>40.508138073097683</c:v>
                </c:pt>
                <c:pt idx="61">
                  <c:v>44.023144184753896</c:v>
                </c:pt>
                <c:pt idx="62">
                  <c:v>47.08586325421269</c:v>
                </c:pt>
                <c:pt idx="63">
                  <c:v>49.502380487832042</c:v>
                </c:pt>
                <c:pt idx="64">
                  <c:v>51.0804736418294</c:v>
                </c:pt>
                <c:pt idx="65">
                  <c:v>51.651457278796897</c:v>
                </c:pt>
                <c:pt idx="66">
                  <c:v>51.103850311922884</c:v>
                </c:pt>
                <c:pt idx="67">
                  <c:v>49.41799354753207</c:v>
                </c:pt>
                <c:pt idx="68">
                  <c:v>46.687126104850904</c:v>
                </c:pt>
                <c:pt idx="69">
                  <c:v>43.115291195090265</c:v>
                </c:pt>
                <c:pt idx="70">
                  <c:v>39.009284696630594</c:v>
                </c:pt>
                <c:pt idx="71">
                  <c:v>34.965152624791365</c:v>
                </c:pt>
                <c:pt idx="72">
                  <c:v>35.259917216593145</c:v>
                </c:pt>
                <c:pt idx="73">
                  <c:v>38.876788003311368</c:v>
                </c:pt>
                <c:pt idx="74">
                  <c:v>42.675339228919917</c:v>
                </c:pt>
                <c:pt idx="75">
                  <c:v>46.244009539713893</c:v>
                </c:pt>
                <c:pt idx="76">
                  <c:v>49.35619370510036</c:v>
                </c:pt>
                <c:pt idx="77">
                  <c:v>51.799402916245832</c:v>
                </c:pt>
                <c:pt idx="78">
                  <c:v>53.365457405978241</c:v>
                </c:pt>
                <c:pt idx="79">
                  <c:v>53.873976471917523</c:v>
                </c:pt>
                <c:pt idx="80">
                  <c:v>53.210517670221456</c:v>
                </c:pt>
                <c:pt idx="81">
                  <c:v>51.365449946075906</c:v>
                </c:pt>
                <c:pt idx="82">
                  <c:v>48.456249940318393</c:v>
                </c:pt>
                <c:pt idx="83">
                  <c:v>44.724000388492506</c:v>
                </c:pt>
                <c:pt idx="84">
                  <c:v>40.542407846670905</c:v>
                </c:pt>
                <c:pt idx="85">
                  <c:v>37.057932141747294</c:v>
                </c:pt>
                <c:pt idx="86">
                  <c:v>39.85871800505214</c:v>
                </c:pt>
                <c:pt idx="87">
                  <c:v>43.656702020007749</c:v>
                </c:pt>
                <c:pt idx="88">
                  <c:v>47.345771295685743</c:v>
                </c:pt>
                <c:pt idx="89">
                  <c:v>50.635641133411212</c:v>
                </c:pt>
                <c:pt idx="90">
                  <c:v>53.293984035981119</c:v>
                </c:pt>
                <c:pt idx="91">
                  <c:v>55.094724550994584</c:v>
                </c:pt>
                <c:pt idx="92">
                  <c:v>55.835372349976403</c:v>
                </c:pt>
                <c:pt idx="93">
                  <c:v>55.376537989764607</c:v>
                </c:pt>
                <c:pt idx="94">
                  <c:v>53.68658404226791</c:v>
                </c:pt>
                <c:pt idx="95">
                  <c:v>50.871460162374454</c:v>
                </c:pt>
                <c:pt idx="96">
                  <c:v>47.176219937572689</c:v>
                </c:pt>
                <c:pt idx="97">
                  <c:v>42.995918783667861</c:v>
                </c:pt>
                <c:pt idx="98">
                  <c:v>39.661775018620567</c:v>
                </c:pt>
                <c:pt idx="99">
                  <c:v>42.783549449486692</c:v>
                </c:pt>
                <c:pt idx="100">
                  <c:v>46.593481952622078</c:v>
                </c:pt>
                <c:pt idx="101">
                  <c:v>50.20907113145087</c:v>
                </c:pt>
                <c:pt idx="102">
                  <c:v>53.343555165132955</c:v>
                </c:pt>
                <c:pt idx="103">
                  <c:v>55.751156932387133</c:v>
                </c:pt>
                <c:pt idx="104">
                  <c:v>57.197451128084197</c:v>
                </c:pt>
                <c:pt idx="105">
                  <c:v>57.487649612346054</c:v>
                </c:pt>
                <c:pt idx="106">
                  <c:v>56.513910596326873</c:v>
                </c:pt>
                <c:pt idx="107">
                  <c:v>54.300744461636654</c:v>
                </c:pt>
                <c:pt idx="108">
                  <c:v>51.026190328380373</c:v>
                </c:pt>
                <c:pt idx="109">
                  <c:v>47.018123243752314</c:v>
                </c:pt>
                <c:pt idx="110">
                  <c:v>42.917401248116363</c:v>
                </c:pt>
                <c:pt idx="111">
                  <c:v>44.14265718223173</c:v>
                </c:pt>
                <c:pt idx="112">
                  <c:v>47.911592622183669</c:v>
                </c:pt>
                <c:pt idx="113">
                  <c:v>51.611844962970054</c:v>
                </c:pt>
                <c:pt idx="114">
                  <c:v>54.872681668946719</c:v>
                </c:pt>
                <c:pt idx="115">
                  <c:v>57.425977206110616</c:v>
                </c:pt>
                <c:pt idx="116">
                  <c:v>59.018698397823336</c:v>
                </c:pt>
                <c:pt idx="117">
                  <c:v>59.436244321156387</c:v>
                </c:pt>
                <c:pt idx="118">
                  <c:v>58.552882444055207</c:v>
                </c:pt>
                <c:pt idx="119">
                  <c:v>56.383451701026722</c:v>
                </c:pt>
                <c:pt idx="120">
                  <c:v>53.110282931914249</c:v>
                </c:pt>
                <c:pt idx="121">
                  <c:v>49.083187406278832</c:v>
                </c:pt>
                <c:pt idx="122">
                  <c:v>45.050840412901437</c:v>
                </c:pt>
                <c:pt idx="123">
                  <c:v>47.250733667907461</c:v>
                </c:pt>
                <c:pt idx="124">
                  <c:v>51.054830732884859</c:v>
                </c:pt>
                <c:pt idx="125">
                  <c:v>54.673788112031843</c:v>
                </c:pt>
                <c:pt idx="126">
                  <c:v>57.757207570288742</c:v>
                </c:pt>
                <c:pt idx="127">
                  <c:v>60.023527287922185</c:v>
                </c:pt>
                <c:pt idx="128">
                  <c:v>61.213358241917277</c:v>
                </c:pt>
                <c:pt idx="129">
                  <c:v>61.127599039379646</c:v>
                </c:pt>
                <c:pt idx="130">
                  <c:v>59.686579859034985</c:v>
                </c:pt>
                <c:pt idx="131">
                  <c:v>56.979693352844819</c:v>
                </c:pt>
                <c:pt idx="132">
                  <c:v>53.280646527769797</c:v>
                </c:pt>
                <c:pt idx="133">
                  <c:v>49.083003350950712</c:v>
                </c:pt>
                <c:pt idx="134">
                  <c:v>47.343635618900485</c:v>
                </c:pt>
                <c:pt idx="135">
                  <c:v>51.035215543500613</c:v>
                </c:pt>
                <c:pt idx="136">
                  <c:v>54.763841834520655</c:v>
                </c:pt>
                <c:pt idx="137">
                  <c:v>58.042866112975567</c:v>
                </c:pt>
                <c:pt idx="138">
                  <c:v>60.571418820731516</c:v>
                </c:pt>
                <c:pt idx="139">
                  <c:v>62.072747533686986</c:v>
                </c:pt>
                <c:pt idx="140">
                  <c:v>62.319645337696905</c:v>
                </c:pt>
                <c:pt idx="141">
                  <c:v>61.193760033705168</c:v>
                </c:pt>
                <c:pt idx="142">
                  <c:v>58.743593858665442</c:v>
                </c:pt>
                <c:pt idx="143">
                  <c:v>55.210507223801471</c:v>
                </c:pt>
                <c:pt idx="144">
                  <c:v>51.045613417924187</c:v>
                </c:pt>
                <c:pt idx="145">
                  <c:v>48.135844016146962</c:v>
                </c:pt>
                <c:pt idx="146">
                  <c:v>51.723956520483455</c:v>
                </c:pt>
                <c:pt idx="147">
                  <c:v>55.479838756587533</c:v>
                </c:pt>
                <c:pt idx="148">
                  <c:v>58.809327067586629</c:v>
                </c:pt>
                <c:pt idx="149">
                  <c:v>61.397100556225595</c:v>
                </c:pt>
                <c:pt idx="150">
                  <c:v>62.956634082690073</c:v>
                </c:pt>
                <c:pt idx="151">
                  <c:v>63.251005764347369</c:v>
                </c:pt>
                <c:pt idx="152">
                  <c:v>62.153931290400358</c:v>
                </c:pt>
                <c:pt idx="153">
                  <c:v>59.711172283510216</c:v>
                </c:pt>
                <c:pt idx="154">
                  <c:v>56.169312876969279</c:v>
                </c:pt>
                <c:pt idx="155">
                  <c:v>51.997058435306329</c:v>
                </c:pt>
                <c:pt idx="156">
                  <c:v>49.393280521953571</c:v>
                </c:pt>
                <c:pt idx="157">
                  <c:v>53.047310996654595</c:v>
                </c:pt>
                <c:pt idx="158">
                  <c:v>56.778528425052421</c:v>
                </c:pt>
                <c:pt idx="159">
                  <c:v>60.039694308362769</c:v>
                </c:pt>
                <c:pt idx="160">
                  <c:v>62.511405402598356</c:v>
                </c:pt>
                <c:pt idx="161">
                  <c:v>63.9039922668331</c:v>
                </c:pt>
                <c:pt idx="162">
                  <c:v>63.987128651917367</c:v>
                </c:pt>
                <c:pt idx="163">
                  <c:v>62.655530231278661</c:v>
                </c:pt>
                <c:pt idx="164">
                  <c:v>59.989639905745207</c:v>
                </c:pt>
                <c:pt idx="165">
                  <c:v>56.27933206818512</c:v>
                </c:pt>
                <c:pt idx="166">
                  <c:v>52.079411872607345</c:v>
                </c:pt>
                <c:pt idx="167">
                  <c:v>51.774130040981511</c:v>
                </c:pt>
                <c:pt idx="168">
                  <c:v>55.554694804596096</c:v>
                </c:pt>
                <c:pt idx="169">
                  <c:v>59.1878025999535</c:v>
                </c:pt>
                <c:pt idx="170">
                  <c:v>62.236632333698921</c:v>
                </c:pt>
                <c:pt idx="171">
                  <c:v>64.379725293600686</c:v>
                </c:pt>
                <c:pt idx="172">
                  <c:v>65.331306702603243</c:v>
                </c:pt>
                <c:pt idx="173">
                  <c:v>64.890822349202821</c:v>
                </c:pt>
                <c:pt idx="174">
                  <c:v>63.015360093566755</c:v>
                </c:pt>
                <c:pt idx="175">
                  <c:v>59.872430291381789</c:v>
                </c:pt>
                <c:pt idx="176">
                  <c:v>55.855272316446218</c:v>
                </c:pt>
                <c:pt idx="177">
                  <c:v>51.969686631623105</c:v>
                </c:pt>
                <c:pt idx="178">
                  <c:v>55.209086283767107</c:v>
                </c:pt>
                <c:pt idx="179">
                  <c:v>58.992700811624267</c:v>
                </c:pt>
                <c:pt idx="180">
                  <c:v>62.355779447978094</c:v>
                </c:pt>
                <c:pt idx="181">
                  <c:v>64.936945785177187</c:v>
                </c:pt>
                <c:pt idx="182">
                  <c:v>66.419644555546569</c:v>
                </c:pt>
                <c:pt idx="183">
                  <c:v>66.55047207874145</c:v>
                </c:pt>
                <c:pt idx="184">
                  <c:v>65.211498151695508</c:v>
                </c:pt>
                <c:pt idx="185">
                  <c:v>62.490042562372437</c:v>
                </c:pt>
                <c:pt idx="186">
                  <c:v>58.708139273825211</c:v>
                </c:pt>
                <c:pt idx="187">
                  <c:v>54.529157565468466</c:v>
                </c:pt>
                <c:pt idx="188">
                  <c:v>56.300251976148367</c:v>
                </c:pt>
                <c:pt idx="189">
                  <c:v>60.110202833863816</c:v>
                </c:pt>
                <c:pt idx="190">
                  <c:v>63.593426503419018</c:v>
                </c:pt>
                <c:pt idx="191">
                  <c:v>66.337059323141816</c:v>
                </c:pt>
                <c:pt idx="192">
                  <c:v>68.001572203928333</c:v>
                </c:pt>
                <c:pt idx="193">
                  <c:v>68.308028604664912</c:v>
                </c:pt>
                <c:pt idx="194">
                  <c:v>67.11180748546407</c:v>
                </c:pt>
                <c:pt idx="195">
                  <c:v>64.481269721149587</c:v>
                </c:pt>
                <c:pt idx="196">
                  <c:v>60.736012769946697</c:v>
                </c:pt>
                <c:pt idx="197">
                  <c:v>56.552875332445907</c:v>
                </c:pt>
                <c:pt idx="198">
                  <c:v>58.504776037776772</c:v>
                </c:pt>
                <c:pt idx="199">
                  <c:v>62.312315519430413</c:v>
                </c:pt>
                <c:pt idx="200">
                  <c:v>65.742184352900466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C3-4DFE-A31D-D3B176418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4404191"/>
        <c:axId val="1184405151"/>
      </c:scatterChart>
      <c:valAx>
        <c:axId val="1184404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84405151"/>
        <c:crosses val="autoZero"/>
        <c:crossBetween val="midCat"/>
      </c:valAx>
      <c:valAx>
        <c:axId val="11844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84404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Feuil1!$D$16</c:f>
              <c:strCache>
                <c:ptCount val="1"/>
                <c:pt idx="0">
                  <c:v>u(ɵ)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Feuil1!$A$17:$A$217</c:f>
              <c:numCache>
                <c:formatCode>General</c:formatCode>
                <c:ptCount val="2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</c:numCache>
            </c:numRef>
          </c:xVal>
          <c:yVal>
            <c:numRef>
              <c:f>Feuil1!$D$17:$D$217</c:f>
              <c:numCache>
                <c:formatCode>General</c:formatCode>
                <c:ptCount val="201"/>
                <c:pt idx="0">
                  <c:v>0.22360679774997894</c:v>
                </c:pt>
                <c:pt idx="1">
                  <c:v>0.22360679774997894</c:v>
                </c:pt>
                <c:pt idx="2">
                  <c:v>0.23700616740678845</c:v>
                </c:pt>
                <c:pt idx="3">
                  <c:v>0.26699191029700486</c:v>
                </c:pt>
                <c:pt idx="4">
                  <c:v>0.31937942090023874</c:v>
                </c:pt>
                <c:pt idx="5">
                  <c:v>0.39988463256751777</c:v>
                </c:pt>
                <c:pt idx="6">
                  <c:v>0.51191787099336472</c:v>
                </c:pt>
                <c:pt idx="7">
                  <c:v>0.65561973170813348</c:v>
                </c:pt>
                <c:pt idx="8">
                  <c:v>0.82769549033358647</c:v>
                </c:pt>
                <c:pt idx="9">
                  <c:v>1.0212852209502712</c:v>
                </c:pt>
                <c:pt idx="10">
                  <c:v>1.225692597238428</c:v>
                </c:pt>
                <c:pt idx="11">
                  <c:v>1.4262897038309472</c:v>
                </c:pt>
                <c:pt idx="12">
                  <c:v>1.605062181829539</c:v>
                </c:pt>
                <c:pt idx="13">
                  <c:v>1.7421863498793897</c:v>
                </c:pt>
                <c:pt idx="14">
                  <c:v>1.8187697421926021</c:v>
                </c:pt>
                <c:pt idx="15">
                  <c:v>1.820428809857866</c:v>
                </c:pt>
                <c:pt idx="16">
                  <c:v>1.7408266238880155</c:v>
                </c:pt>
                <c:pt idx="17">
                  <c:v>1.5839324693243806</c:v>
                </c:pt>
                <c:pt idx="18">
                  <c:v>1.3639458584621733</c:v>
                </c:pt>
                <c:pt idx="19">
                  <c:v>1.1026820951425496</c:v>
                </c:pt>
                <c:pt idx="20">
                  <c:v>0.82543593642809909</c:v>
                </c:pt>
                <c:pt idx="21">
                  <c:v>0.55749216884748476</c:v>
                </c:pt>
                <c:pt idx="22">
                  <c:v>0.32586723650422583</c:v>
                </c:pt>
                <c:pt idx="23">
                  <c:v>0.18661083963302258</c:v>
                </c:pt>
                <c:pt idx="24">
                  <c:v>0.2291001425728792</c:v>
                </c:pt>
                <c:pt idx="25">
                  <c:v>0.36434126611486306</c:v>
                </c:pt>
                <c:pt idx="26">
                  <c:v>0.54160136225237143</c:v>
                </c:pt>
                <c:pt idx="27">
                  <c:v>0.75053977778757408</c:v>
                </c:pt>
                <c:pt idx="28">
                  <c:v>0.9808517670204574</c:v>
                </c:pt>
                <c:pt idx="29">
                  <c:v>1.2184092960557726</c:v>
                </c:pt>
                <c:pt idx="30">
                  <c:v>1.4445943051850938</c:v>
                </c:pt>
                <c:pt idx="31">
                  <c:v>1.6370766942475883</c:v>
                </c:pt>
                <c:pt idx="32">
                  <c:v>1.7721901497896866</c:v>
                </c:pt>
                <c:pt idx="33">
                  <c:v>1.828841775910895</c:v>
                </c:pt>
                <c:pt idx="34">
                  <c:v>1.7932355860104745</c:v>
                </c:pt>
                <c:pt idx="35">
                  <c:v>1.6629669807032146</c:v>
                </c:pt>
                <c:pt idx="36">
                  <c:v>1.4487753360915003</c:v>
                </c:pt>
                <c:pt idx="37">
                  <c:v>1.1729101053275899</c:v>
                </c:pt>
                <c:pt idx="38">
                  <c:v>0.86467786287221726</c:v>
                </c:pt>
                <c:pt idx="39">
                  <c:v>0.55598853850788355</c:v>
                </c:pt>
                <c:pt idx="40">
                  <c:v>0.28681347895068998</c:v>
                </c:pt>
                <c:pt idx="41">
                  <c:v>0.18668508687105584</c:v>
                </c:pt>
                <c:pt idx="42">
                  <c:v>0.33770149543103534</c:v>
                </c:pt>
                <c:pt idx="43">
                  <c:v>0.55593051842525887</c:v>
                </c:pt>
                <c:pt idx="44">
                  <c:v>0.8056536492809514</c:v>
                </c:pt>
                <c:pt idx="45">
                  <c:v>1.0699669783492658</c:v>
                </c:pt>
                <c:pt idx="46">
                  <c:v>1.3289801419659795</c:v>
                </c:pt>
                <c:pt idx="47">
                  <c:v>1.5583162755187412</c:v>
                </c:pt>
                <c:pt idx="48">
                  <c:v>1.7309224469132516</c:v>
                </c:pt>
                <c:pt idx="49">
                  <c:v>1.8211443249006041</c:v>
                </c:pt>
                <c:pt idx="50">
                  <c:v>1.8102721713593299</c:v>
                </c:pt>
                <c:pt idx="51">
                  <c:v>1.6919351184658402</c:v>
                </c:pt>
                <c:pt idx="52">
                  <c:v>1.4751452190103806</c:v>
                </c:pt>
                <c:pt idx="53">
                  <c:v>1.1833159187382527</c:v>
                </c:pt>
                <c:pt idx="54">
                  <c:v>0.84952677776123375</c:v>
                </c:pt>
                <c:pt idx="55">
                  <c:v>0.51182311278268</c:v>
                </c:pt>
                <c:pt idx="56">
                  <c:v>0.23042401321035599</c:v>
                </c:pt>
                <c:pt idx="57">
                  <c:v>0.24057520403833607</c:v>
                </c:pt>
                <c:pt idx="58">
                  <c:v>0.46727529229322173</c:v>
                </c:pt>
                <c:pt idx="59">
                  <c:v>0.73799887591754976</c:v>
                </c:pt>
                <c:pt idx="60">
                  <c:v>1.0253630883700333</c:v>
                </c:pt>
                <c:pt idx="61">
                  <c:v>1.3060693862296766</c:v>
                </c:pt>
                <c:pt idx="62">
                  <c:v>1.5526123195543393</c:v>
                </c:pt>
                <c:pt idx="63">
                  <c:v>1.7347391067493969</c:v>
                </c:pt>
                <c:pt idx="64">
                  <c:v>1.8241605708145381</c:v>
                </c:pt>
                <c:pt idx="65">
                  <c:v>1.801037278841048</c:v>
                </c:pt>
                <c:pt idx="66">
                  <c:v>1.6601250058008745</c:v>
                </c:pt>
                <c:pt idx="67">
                  <c:v>1.4138897351599782</c:v>
                </c:pt>
                <c:pt idx="68">
                  <c:v>1.0907526762546758</c:v>
                </c:pt>
                <c:pt idx="69">
                  <c:v>0.72941900317852482</c:v>
                </c:pt>
                <c:pt idx="70">
                  <c:v>0.37737658530025564</c:v>
                </c:pt>
                <c:pt idx="71">
                  <c:v>0.18167640127146878</c:v>
                </c:pt>
                <c:pt idx="72">
                  <c:v>0.38320949828569489</c:v>
                </c:pt>
                <c:pt idx="73">
                  <c:v>0.67132473825977435</c:v>
                </c:pt>
                <c:pt idx="74">
                  <c:v>0.97996567590098549</c:v>
                </c:pt>
                <c:pt idx="75">
                  <c:v>1.281316493187789</c:v>
                </c:pt>
                <c:pt idx="76">
                  <c:v>1.5446604661324166</c:v>
                </c:pt>
                <c:pt idx="77">
                  <c:v>1.7365430368833326</c:v>
                </c:pt>
                <c:pt idx="78">
                  <c:v>1.8260199375844572</c:v>
                </c:pt>
                <c:pt idx="79">
                  <c:v>1.7920879520126776</c:v>
                </c:pt>
                <c:pt idx="80">
                  <c:v>1.6305961867758265</c:v>
                </c:pt>
                <c:pt idx="81">
                  <c:v>1.3574239653702946</c:v>
                </c:pt>
                <c:pt idx="82">
                  <c:v>1.0059559947981609</c:v>
                </c:pt>
                <c:pt idx="83">
                  <c:v>0.62087322648296295</c:v>
                </c:pt>
                <c:pt idx="84">
                  <c:v>0.26757355684668738</c:v>
                </c:pt>
                <c:pt idx="85">
                  <c:v>0.2483976614841503</c:v>
                </c:pt>
                <c:pt idx="86">
                  <c:v>0.53324705907121495</c:v>
                </c:pt>
                <c:pt idx="87">
                  <c:v>0.85756123737364609</c:v>
                </c:pt>
                <c:pt idx="88">
                  <c:v>1.1823152679372708</c:v>
                </c:pt>
                <c:pt idx="89">
                  <c:v>1.4744229970522138</c:v>
                </c:pt>
                <c:pt idx="90">
                  <c:v>1.6976561062897593</c:v>
                </c:pt>
                <c:pt idx="91">
                  <c:v>1.8170929490760581</c:v>
                </c:pt>
                <c:pt idx="92">
                  <c:v>1.8070805608371536</c:v>
                </c:pt>
                <c:pt idx="93">
                  <c:v>1.6593972468973193</c:v>
                </c:pt>
                <c:pt idx="94">
                  <c:v>1.3878498736600993</c:v>
                </c:pt>
                <c:pt idx="95">
                  <c:v>1.0265720565939558</c:v>
                </c:pt>
                <c:pt idx="96">
                  <c:v>0.62366182985574281</c:v>
                </c:pt>
                <c:pt idx="97">
                  <c:v>0.2537656779156684</c:v>
                </c:pt>
                <c:pt idx="98">
                  <c:v>0.27844791612805858</c:v>
                </c:pt>
                <c:pt idx="99">
                  <c:v>0.5923600955610675</c:v>
                </c:pt>
                <c:pt idx="100">
                  <c:v>0.93639419895506437</c:v>
                </c:pt>
                <c:pt idx="101">
                  <c:v>1.2697925506309837</c:v>
                </c:pt>
                <c:pt idx="102">
                  <c:v>1.555233244114451</c:v>
                </c:pt>
                <c:pt idx="103">
                  <c:v>1.7534194007698836</c:v>
                </c:pt>
                <c:pt idx="104">
                  <c:v>1.8294715190506585</c:v>
                </c:pt>
                <c:pt idx="105">
                  <c:v>1.762189149791479</c:v>
                </c:pt>
                <c:pt idx="106">
                  <c:v>1.5520260706596118</c:v>
                </c:pt>
                <c:pt idx="107">
                  <c:v>1.2236028599494984</c:v>
                </c:pt>
                <c:pt idx="108">
                  <c:v>0.82116631676568486</c:v>
                </c:pt>
                <c:pt idx="109">
                  <c:v>0.40494511659214133</c:v>
                </c:pt>
                <c:pt idx="110">
                  <c:v>0.19105839115481449</c:v>
                </c:pt>
                <c:pt idx="111">
                  <c:v>0.48391614182815879</c:v>
                </c:pt>
                <c:pt idx="112">
                  <c:v>0.84393656576525877</c:v>
                </c:pt>
                <c:pt idx="113">
                  <c:v>1.1997052507172987</c:v>
                </c:pt>
                <c:pt idx="114">
                  <c:v>1.5101362715863402</c:v>
                </c:pt>
                <c:pt idx="115">
                  <c:v>1.7325202233314347</c:v>
                </c:pt>
                <c:pt idx="116">
                  <c:v>1.8280285987814602</c:v>
                </c:pt>
                <c:pt idx="117">
                  <c:v>1.7717916325419243</c:v>
                </c:pt>
                <c:pt idx="118">
                  <c:v>1.5621522648359569</c:v>
                </c:pt>
                <c:pt idx="119">
                  <c:v>1.2241644071002076</c:v>
                </c:pt>
                <c:pt idx="120">
                  <c:v>0.80519132825974882</c:v>
                </c:pt>
                <c:pt idx="121">
                  <c:v>0.37261973280017852</c:v>
                </c:pt>
                <c:pt idx="122">
                  <c:v>0.21604026313911162</c:v>
                </c:pt>
                <c:pt idx="123">
                  <c:v>0.55200378599132505</c:v>
                </c:pt>
                <c:pt idx="124">
                  <c:v>0.93309743089344477</c:v>
                </c:pt>
                <c:pt idx="125">
                  <c:v>1.2958428429007258</c:v>
                </c:pt>
                <c:pt idx="126">
                  <c:v>1.5945177212468402</c:v>
                </c:pt>
                <c:pt idx="127">
                  <c:v>1.7833380903581175</c:v>
                </c:pt>
                <c:pt idx="128">
                  <c:v>1.8247011272956433</c:v>
                </c:pt>
                <c:pt idx="129">
                  <c:v>1.7006203697148241</c:v>
                </c:pt>
                <c:pt idx="130">
                  <c:v>1.4211015019373503</c:v>
                </c:pt>
                <c:pt idx="131">
                  <c:v>1.024483630756464</c:v>
                </c:pt>
                <c:pt idx="132">
                  <c:v>0.57101036238555714</c:v>
                </c:pt>
                <c:pt idx="133">
                  <c:v>0.19173959453217998</c:v>
                </c:pt>
                <c:pt idx="134">
                  <c:v>0.41970019187568602</c:v>
                </c:pt>
                <c:pt idx="135">
                  <c:v>0.80645399933012518</c:v>
                </c:pt>
                <c:pt idx="136">
                  <c:v>1.1888732350637303</c:v>
                </c:pt>
                <c:pt idx="137">
                  <c:v>1.5181454200236197</c:v>
                </c:pt>
                <c:pt idx="138">
                  <c:v>1.7459028496766542</c:v>
                </c:pt>
                <c:pt idx="139">
                  <c:v>1.8296037509580427</c:v>
                </c:pt>
                <c:pt idx="140">
                  <c:v>1.7443515860950545</c:v>
                </c:pt>
                <c:pt idx="141">
                  <c:v>1.4931532504729672</c:v>
                </c:pt>
                <c:pt idx="142">
                  <c:v>1.1096475327289677</c:v>
                </c:pt>
                <c:pt idx="143">
                  <c:v>0.65227968810791181</c:v>
                </c:pt>
                <c:pt idx="144">
                  <c:v>0.22662066859079361</c:v>
                </c:pt>
                <c:pt idx="145">
                  <c:v>0.37221778508368641</c:v>
                </c:pt>
                <c:pt idx="146">
                  <c:v>0.76477579210639146</c:v>
                </c:pt>
                <c:pt idx="147">
                  <c:v>1.1577000353748435</c:v>
                </c:pt>
                <c:pt idx="148">
                  <c:v>1.4987249895158266</c:v>
                </c:pt>
                <c:pt idx="149">
                  <c:v>1.737511845694931</c:v>
                </c:pt>
                <c:pt idx="150">
                  <c:v>1.82944923001055</c:v>
                </c:pt>
                <c:pt idx="151">
                  <c:v>1.7478912076201334</c:v>
                </c:pt>
                <c:pt idx="152">
                  <c:v>1.4950995632657051</c:v>
                </c:pt>
                <c:pt idx="153">
                  <c:v>1.1054172382051937</c:v>
                </c:pt>
                <c:pt idx="154">
                  <c:v>0.6394884197724422</c:v>
                </c:pt>
                <c:pt idx="155">
                  <c:v>0.21356639324213794</c:v>
                </c:pt>
                <c:pt idx="156">
                  <c:v>0.39961697075634289</c:v>
                </c:pt>
                <c:pt idx="157">
                  <c:v>0.80277573859488904</c:v>
                </c:pt>
                <c:pt idx="158">
                  <c:v>1.1995110061299161</c:v>
                </c:pt>
                <c:pt idx="159">
                  <c:v>1.5359926761941161</c:v>
                </c:pt>
                <c:pt idx="160">
                  <c:v>1.7603719118739842</c:v>
                </c:pt>
                <c:pt idx="161">
                  <c:v>1.8284871884286795</c:v>
                </c:pt>
                <c:pt idx="162">
                  <c:v>1.7168558609977758</c:v>
                </c:pt>
                <c:pt idx="163">
                  <c:v>1.4332317681034836</c:v>
                </c:pt>
                <c:pt idx="164">
                  <c:v>1.0182632386687811</c:v>
                </c:pt>
                <c:pt idx="165">
                  <c:v>0.53933464547861087</c:v>
                </c:pt>
                <c:pt idx="166">
                  <c:v>0.18038798871636252</c:v>
                </c:pt>
                <c:pt idx="167">
                  <c:v>0.49975264440332334</c:v>
                </c:pt>
                <c:pt idx="168">
                  <c:v>0.91896305085094576</c:v>
                </c:pt>
                <c:pt idx="169">
                  <c:v>1.3128278045703898</c:v>
                </c:pt>
                <c:pt idx="170">
                  <c:v>1.6255343156127797</c:v>
                </c:pt>
                <c:pt idx="171">
                  <c:v>1.8040521874798079</c:v>
                </c:pt>
                <c:pt idx="172">
                  <c:v>1.8082415116258521</c:v>
                </c:pt>
                <c:pt idx="173">
                  <c:v>1.624662944600801</c:v>
                </c:pt>
                <c:pt idx="174">
                  <c:v>1.2749712934141804</c:v>
                </c:pt>
                <c:pt idx="175">
                  <c:v>0.81361802000848094</c:v>
                </c:pt>
                <c:pt idx="176">
                  <c:v>0.32870863643750742</c:v>
                </c:pt>
                <c:pt idx="177">
                  <c:v>0.29385357425861247</c:v>
                </c:pt>
                <c:pt idx="178">
                  <c:v>0.71142844241090875</c:v>
                </c:pt>
                <c:pt idx="179">
                  <c:v>1.1359637732779337</c:v>
                </c:pt>
                <c:pt idx="180">
                  <c:v>1.5009347446714525</c:v>
                </c:pt>
                <c:pt idx="181">
                  <c:v>1.7484922724513492</c:v>
                </c:pt>
                <c:pt idx="182">
                  <c:v>1.8290742880540511</c:v>
                </c:pt>
                <c:pt idx="183">
                  <c:v>1.7157969848769274</c:v>
                </c:pt>
                <c:pt idx="184">
                  <c:v>1.4167304892351922</c:v>
                </c:pt>
                <c:pt idx="185">
                  <c:v>0.97712288921347756</c:v>
                </c:pt>
                <c:pt idx="186">
                  <c:v>0.47400919869314229</c:v>
                </c:pt>
                <c:pt idx="187">
                  <c:v>0.20234237515129824</c:v>
                </c:pt>
                <c:pt idx="188">
                  <c:v>0.60546558574937126</c:v>
                </c:pt>
                <c:pt idx="189">
                  <c:v>1.0504520909070783</c:v>
                </c:pt>
                <c:pt idx="190">
                  <c:v>1.4432565882176385</c:v>
                </c:pt>
                <c:pt idx="191">
                  <c:v>1.72119574239771</c:v>
                </c:pt>
                <c:pt idx="192">
                  <c:v>1.8293751901597111</c:v>
                </c:pt>
                <c:pt idx="193">
                  <c:v>1.735390618070257</c:v>
                </c:pt>
                <c:pt idx="194">
                  <c:v>1.4434951042220672</c:v>
                </c:pt>
                <c:pt idx="195">
                  <c:v>0.99853865127352237</c:v>
                </c:pt>
                <c:pt idx="196">
                  <c:v>0.48085804930381387</c:v>
                </c:pt>
                <c:pt idx="197">
                  <c:v>0.20747068360612647</c:v>
                </c:pt>
                <c:pt idx="198">
                  <c:v>0.63193229304169574</c:v>
                </c:pt>
                <c:pt idx="199">
                  <c:v>1.0900768827628238</c:v>
                </c:pt>
                <c:pt idx="200">
                  <c:v>1.4847349072687759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C7-4C09-AD8C-F582A7F3B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4394591"/>
        <c:axId val="1184407071"/>
      </c:scatterChart>
      <c:valAx>
        <c:axId val="1184394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84407071"/>
        <c:crosses val="autoZero"/>
        <c:crossBetween val="midCat"/>
      </c:valAx>
      <c:valAx>
        <c:axId val="118440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84394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Feuil1!$F$16</c:f>
              <c:strCache>
                <c:ptCount val="1"/>
                <c:pt idx="0">
                  <c:v>a (rad/s²)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Feuil1!$A$17:$A$217</c:f>
              <c:numCache>
                <c:formatCode>General</c:formatCode>
                <c:ptCount val="2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</c:numCache>
            </c:numRef>
          </c:xVal>
          <c:yVal>
            <c:numRef>
              <c:f>Feuil1!$F$17:$F$217</c:f>
              <c:numCache>
                <c:formatCode>General</c:formatCode>
                <c:ptCount val="201"/>
                <c:pt idx="0">
                  <c:v>237.85673882924374</c:v>
                </c:pt>
                <c:pt idx="1">
                  <c:v>237.85673882924374</c:v>
                </c:pt>
                <c:pt idx="2">
                  <c:v>263.13322759925495</c:v>
                </c:pt>
                <c:pt idx="3">
                  <c:v>301.63535307652455</c:v>
                </c:pt>
                <c:pt idx="4">
                  <c:v>338.94358793468678</c:v>
                </c:pt>
                <c:pt idx="5">
                  <c:v>365.45849870737544</c:v>
                </c:pt>
                <c:pt idx="6">
                  <c:v>378.79443315786966</c:v>
                </c:pt>
                <c:pt idx="7">
                  <c:v>380.28563181882993</c:v>
                </c:pt>
                <c:pt idx="8">
                  <c:v>371.29822972368333</c:v>
                </c:pt>
                <c:pt idx="9">
                  <c:v>352.00278982251871</c:v>
                </c:pt>
                <c:pt idx="10">
                  <c:v>321.577843663762</c:v>
                </c:pt>
                <c:pt idx="11">
                  <c:v>278.78124707710884</c:v>
                </c:pt>
                <c:pt idx="12">
                  <c:v>222.57029356918349</c:v>
                </c:pt>
                <c:pt idx="13">
                  <c:v>152.75021989816267</c:v>
                </c:pt>
                <c:pt idx="14">
                  <c:v>70.620448736469456</c:v>
                </c:pt>
                <c:pt idx="15">
                  <c:v>-20.537213040295597</c:v>
                </c:pt>
                <c:pt idx="16">
                  <c:v>-115.3981020610278</c:v>
                </c:pt>
                <c:pt idx="17">
                  <c:v>-207.1962024528703</c:v>
                </c:pt>
                <c:pt idx="18">
                  <c:v>-288.94144601572862</c:v>
                </c:pt>
                <c:pt idx="19">
                  <c:v>-354.75014645308681</c:v>
                </c:pt>
                <c:pt idx="20">
                  <c:v>-400.2846321852906</c:v>
                </c:pt>
                <c:pt idx="21">
                  <c:v>-419.94501908435961</c:v>
                </c:pt>
                <c:pt idx="22">
                  <c:v>-387.31542612499874</c:v>
                </c:pt>
                <c:pt idx="23">
                  <c:v>-137.33568649117888</c:v>
                </c:pt>
                <c:pt idx="24">
                  <c:v>249.06088643552485</c:v>
                </c:pt>
                <c:pt idx="25">
                  <c:v>356.53264656407782</c:v>
                </c:pt>
                <c:pt idx="26">
                  <c:v>380.10009768875233</c:v>
                </c:pt>
                <c:pt idx="27">
                  <c:v>376.41003047106608</c:v>
                </c:pt>
                <c:pt idx="28">
                  <c:v>356.76697205242056</c:v>
                </c:pt>
                <c:pt idx="29">
                  <c:v>322.86128420130154</c:v>
                </c:pt>
                <c:pt idx="30">
                  <c:v>274.00844200452946</c:v>
                </c:pt>
                <c:pt idx="31">
                  <c:v>209.41151009783187</c:v>
                </c:pt>
                <c:pt idx="32">
                  <c:v>129.38680978920448</c:v>
                </c:pt>
                <c:pt idx="33">
                  <c:v>36.289354232399077</c:v>
                </c:pt>
                <c:pt idx="34">
                  <c:v>-64.943057956638143</c:v>
                </c:pt>
                <c:pt idx="35">
                  <c:v>-166.97655835360055</c:v>
                </c:pt>
                <c:pt idx="36">
                  <c:v>-261.21050653880104</c:v>
                </c:pt>
                <c:pt idx="37">
                  <c:v>-339.49908700418592</c:v>
                </c:pt>
                <c:pt idx="38">
                  <c:v>-395.22459529614309</c:v>
                </c:pt>
                <c:pt idx="39">
                  <c:v>-419.95766438467513</c:v>
                </c:pt>
                <c:pt idx="40">
                  <c:v>-364.79572274882315</c:v>
                </c:pt>
                <c:pt idx="41">
                  <c:v>90.691665200905675</c:v>
                </c:pt>
                <c:pt idx="42">
                  <c:v>347.20025074408301</c:v>
                </c:pt>
                <c:pt idx="43">
                  <c:v>380.50840190680265</c:v>
                </c:pt>
                <c:pt idx="44">
                  <c:v>372.9193087007036</c:v>
                </c:pt>
                <c:pt idx="45">
                  <c:v>345.74362358500213</c:v>
                </c:pt>
                <c:pt idx="46">
                  <c:v>301.4942863876995</c:v>
                </c:pt>
                <c:pt idx="47">
                  <c:v>239.70378644412591</c:v>
                </c:pt>
                <c:pt idx="48">
                  <c:v>160.31351765728647</c:v>
                </c:pt>
                <c:pt idx="49">
                  <c:v>65.231637160605203</c:v>
                </c:pt>
                <c:pt idx="50">
                  <c:v>-40.716428711650153</c:v>
                </c:pt>
                <c:pt idx="51">
                  <c:v>-149.66161606835246</c:v>
                </c:pt>
                <c:pt idx="52">
                  <c:v>-251.74469420219239</c:v>
                </c:pt>
                <c:pt idx="53">
                  <c:v>-337.10004671575609</c:v>
                </c:pt>
                <c:pt idx="54">
                  <c:v>-397.23372038688751</c:v>
                </c:pt>
                <c:pt idx="55">
                  <c:v>-419.58429156799133</c:v>
                </c:pt>
                <c:pt idx="56">
                  <c:v>-298.33578959907823</c:v>
                </c:pt>
                <c:pt idx="57">
                  <c:v>268.82042419915166</c:v>
                </c:pt>
                <c:pt idx="58">
                  <c:v>375.39551505081926</c:v>
                </c:pt>
                <c:pt idx="59">
                  <c:v>377.08572773517022</c:v>
                </c:pt>
                <c:pt idx="60">
                  <c:v>351.50061116562131</c:v>
                </c:pt>
                <c:pt idx="61">
                  <c:v>306.27190694587921</c:v>
                </c:pt>
                <c:pt idx="62">
                  <c:v>241.65172336193521</c:v>
                </c:pt>
                <c:pt idx="63">
                  <c:v>157.80931539973597</c:v>
                </c:pt>
                <c:pt idx="64">
                  <c:v>57.098363696750049</c:v>
                </c:pt>
                <c:pt idx="65">
                  <c:v>-54.760696687401186</c:v>
                </c:pt>
                <c:pt idx="66">
                  <c:v>-168.58567643908157</c:v>
                </c:pt>
                <c:pt idx="67">
                  <c:v>-273.08674426811689</c:v>
                </c:pt>
                <c:pt idx="68">
                  <c:v>-357.18349097606415</c:v>
                </c:pt>
                <c:pt idx="69">
                  <c:v>-410.60064984596698</c:v>
                </c:pt>
                <c:pt idx="70">
                  <c:v>-404.41320718392279</c:v>
                </c:pt>
                <c:pt idx="71">
                  <c:v>29.476459180178033</c:v>
                </c:pt>
                <c:pt idx="72">
                  <c:v>361.68707867182206</c:v>
                </c:pt>
                <c:pt idx="73">
                  <c:v>379.85512256085462</c:v>
                </c:pt>
                <c:pt idx="74">
                  <c:v>356.86703107939746</c:v>
                </c:pt>
                <c:pt idx="75">
                  <c:v>311.21841653864681</c:v>
                </c:pt>
                <c:pt idx="76">
                  <c:v>244.32092111454722</c:v>
                </c:pt>
                <c:pt idx="77">
                  <c:v>156.60544897324101</c:v>
                </c:pt>
                <c:pt idx="78">
                  <c:v>50.851906593927872</c:v>
                </c:pt>
                <c:pt idx="79">
                  <c:v>-66.34588016960663</c:v>
                </c:pt>
                <c:pt idx="80">
                  <c:v>-184.5067724145554</c:v>
                </c:pt>
                <c:pt idx="81">
                  <c:v>-290.92000057575092</c:v>
                </c:pt>
                <c:pt idx="82">
                  <c:v>-373.22495518258847</c:v>
                </c:pt>
                <c:pt idx="83">
                  <c:v>-418.15925418215983</c:v>
                </c:pt>
                <c:pt idx="84">
                  <c:v>-348.44757049236091</c:v>
                </c:pt>
                <c:pt idx="85">
                  <c:v>280.0785863304846</c:v>
                </c:pt>
                <c:pt idx="86">
                  <c:v>379.79840149556094</c:v>
                </c:pt>
                <c:pt idx="87">
                  <c:v>368.90692756779919</c:v>
                </c:pt>
                <c:pt idx="88">
                  <c:v>328.98698377254664</c:v>
                </c:pt>
                <c:pt idx="89">
                  <c:v>265.83429025699076</c:v>
                </c:pt>
                <c:pt idx="90">
                  <c:v>180.07405150134656</c:v>
                </c:pt>
                <c:pt idx="91">
                  <c:v>74.064779898181939</c:v>
                </c:pt>
                <c:pt idx="92">
                  <c:v>-45.883436021179321</c:v>
                </c:pt>
                <c:pt idx="93">
                  <c:v>-168.99539474966934</c:v>
                </c:pt>
                <c:pt idx="94">
                  <c:v>-281.51238798934537</c:v>
                </c:pt>
                <c:pt idx="95">
                  <c:v>-369.52402248017631</c:v>
                </c:pt>
                <c:pt idx="96">
                  <c:v>-418.03011539048259</c:v>
                </c:pt>
                <c:pt idx="97">
                  <c:v>-333.41437650472938</c:v>
                </c:pt>
                <c:pt idx="98">
                  <c:v>312.17744308661236</c:v>
                </c:pt>
                <c:pt idx="99">
                  <c:v>380.99325031353828</c:v>
                </c:pt>
                <c:pt idx="100">
                  <c:v>361.55891788287897</c:v>
                </c:pt>
                <c:pt idx="101">
                  <c:v>313.44840336820886</c:v>
                </c:pt>
                <c:pt idx="102">
                  <c:v>240.76017672541803</c:v>
                </c:pt>
                <c:pt idx="103">
                  <c:v>144.62941956970661</c:v>
                </c:pt>
                <c:pt idx="104">
                  <c:v>29.019848426185977</c:v>
                </c:pt>
                <c:pt idx="105">
                  <c:v>-97.373901601917737</c:v>
                </c:pt>
                <c:pt idx="106">
                  <c:v>-221.31661346902214</c:v>
                </c:pt>
                <c:pt idx="107">
                  <c:v>-327.45541332562777</c:v>
                </c:pt>
                <c:pt idx="108">
                  <c:v>-400.806708462806</c:v>
                </c:pt>
                <c:pt idx="109">
                  <c:v>-410.07219956359512</c:v>
                </c:pt>
                <c:pt idx="110">
                  <c:v>122.52559341153685</c:v>
                </c:pt>
                <c:pt idx="111">
                  <c:v>376.89354399519397</c:v>
                </c:pt>
                <c:pt idx="112">
                  <c:v>370.02523407863868</c:v>
                </c:pt>
                <c:pt idx="113">
                  <c:v>326.08367059766624</c:v>
                </c:pt>
                <c:pt idx="114">
                  <c:v>255.32955371638943</c:v>
                </c:pt>
                <c:pt idx="115">
                  <c:v>159.27211917127218</c:v>
                </c:pt>
                <c:pt idx="116">
                  <c:v>41.754592333305396</c:v>
                </c:pt>
                <c:pt idx="117">
                  <c:v>-88.336187710117727</c:v>
                </c:pt>
                <c:pt idx="118">
                  <c:v>-216.94307430284874</c:v>
                </c:pt>
                <c:pt idx="119">
                  <c:v>-327.31687691124728</c:v>
                </c:pt>
                <c:pt idx="120">
                  <c:v>-402.70955256354182</c:v>
                </c:pt>
                <c:pt idx="121">
                  <c:v>-403.2346993377393</c:v>
                </c:pt>
                <c:pt idx="122">
                  <c:v>219.98932550060258</c:v>
                </c:pt>
                <c:pt idx="123">
                  <c:v>380.4097064977401</c:v>
                </c:pt>
                <c:pt idx="124">
                  <c:v>361.89573791469832</c:v>
                </c:pt>
                <c:pt idx="125">
                  <c:v>308.34194582568989</c:v>
                </c:pt>
                <c:pt idx="126">
                  <c:v>226.63197176334404</c:v>
                </c:pt>
                <c:pt idx="127">
                  <c:v>118.98309539950883</c:v>
                </c:pt>
                <c:pt idx="128">
                  <c:v>-8.575920253762769</c:v>
                </c:pt>
                <c:pt idx="129">
                  <c:v>-144.10191803446628</c:v>
                </c:pt>
                <c:pt idx="130">
                  <c:v>-270.68865061901641</c:v>
                </c:pt>
                <c:pt idx="131">
                  <c:v>-369.90468250750223</c:v>
                </c:pt>
                <c:pt idx="132">
                  <c:v>-419.76431768190872</c:v>
                </c:pt>
                <c:pt idx="133">
                  <c:v>-173.93677320502294</c:v>
                </c:pt>
                <c:pt idx="134">
                  <c:v>369.15799246001285</c:v>
                </c:pt>
                <c:pt idx="135">
                  <c:v>372.86262910200435</c:v>
                </c:pt>
                <c:pt idx="136">
                  <c:v>327.90242784549099</c:v>
                </c:pt>
                <c:pt idx="137">
                  <c:v>252.85527077559519</c:v>
                </c:pt>
                <c:pt idx="138">
                  <c:v>150.13287129554726</c:v>
                </c:pt>
                <c:pt idx="139">
                  <c:v>24.689780400991879</c:v>
                </c:pt>
                <c:pt idx="140">
                  <c:v>-112.58853039917378</c:v>
                </c:pt>
                <c:pt idx="141">
                  <c:v>-245.0166175039723</c:v>
                </c:pt>
                <c:pt idx="142">
                  <c:v>-353.30866348639705</c:v>
                </c:pt>
                <c:pt idx="143">
                  <c:v>-416.48938058772831</c:v>
                </c:pt>
                <c:pt idx="144">
                  <c:v>-290.97694017772261</c:v>
                </c:pt>
                <c:pt idx="145">
                  <c:v>358.81125043364938</c:v>
                </c:pt>
                <c:pt idx="146">
                  <c:v>375.58822361040757</c:v>
                </c:pt>
                <c:pt idx="147">
                  <c:v>332.9488310999098</c:v>
                </c:pt>
                <c:pt idx="148">
                  <c:v>258.7773488638968</c:v>
                </c:pt>
                <c:pt idx="149">
                  <c:v>155.95335264644802</c:v>
                </c:pt>
                <c:pt idx="150">
                  <c:v>29.437168165729883</c:v>
                </c:pt>
                <c:pt idx="151">
                  <c:v>-109.70744739470135</c:v>
                </c:pt>
                <c:pt idx="152">
                  <c:v>-244.27590068901404</c:v>
                </c:pt>
                <c:pt idx="153">
                  <c:v>-354.18594065409337</c:v>
                </c:pt>
                <c:pt idx="154">
                  <c:v>-417.22544416629535</c:v>
                </c:pt>
                <c:pt idx="155">
                  <c:v>-260.3777913352755</c:v>
                </c:pt>
                <c:pt idx="156">
                  <c:v>365.40304747010231</c:v>
                </c:pt>
                <c:pt idx="157">
                  <c:v>373.12174283978254</c:v>
                </c:pt>
                <c:pt idx="158">
                  <c:v>326.11658833103479</c:v>
                </c:pt>
                <c:pt idx="159">
                  <c:v>247.1711094235591</c:v>
                </c:pt>
                <c:pt idx="160">
                  <c:v>139.25868642347433</c:v>
                </c:pt>
                <c:pt idx="161">
                  <c:v>8.313638508426358</c:v>
                </c:pt>
                <c:pt idx="162">
                  <c:v>-133.15984206387026</c:v>
                </c:pt>
                <c:pt idx="163">
                  <c:v>-266.58903255334542</c:v>
                </c:pt>
                <c:pt idx="164">
                  <c:v>-371.03078375600882</c:v>
                </c:pt>
                <c:pt idx="165">
                  <c:v>-419.99201955777767</c:v>
                </c:pt>
                <c:pt idx="166">
                  <c:v>-30.528183162583705</c:v>
                </c:pt>
                <c:pt idx="167">
                  <c:v>378.05647636145812</c:v>
                </c:pt>
                <c:pt idx="168">
                  <c:v>363.31077953574004</c:v>
                </c:pt>
                <c:pt idx="169">
                  <c:v>304.88297337454196</c:v>
                </c:pt>
                <c:pt idx="170">
                  <c:v>214.30929599017628</c:v>
                </c:pt>
                <c:pt idx="171">
                  <c:v>95.158140900255489</c:v>
                </c:pt>
                <c:pt idx="172">
                  <c:v>-44.048435340042445</c:v>
                </c:pt>
                <c:pt idx="173">
                  <c:v>-187.54622556360638</c:v>
                </c:pt>
                <c:pt idx="174">
                  <c:v>-314.2929802184965</c:v>
                </c:pt>
                <c:pt idx="175">
                  <c:v>-401.71579749355692</c:v>
                </c:pt>
                <c:pt idx="176">
                  <c:v>-388.5585684823111</c:v>
                </c:pt>
                <c:pt idx="177">
                  <c:v>323.9399652144005</c:v>
                </c:pt>
                <c:pt idx="178">
                  <c:v>378.36145278571627</c:v>
                </c:pt>
                <c:pt idx="179">
                  <c:v>336.30786363538238</c:v>
                </c:pt>
                <c:pt idx="180">
                  <c:v>258.11663371990915</c:v>
                </c:pt>
                <c:pt idx="181">
                  <c:v>148.2698770369384</c:v>
                </c:pt>
                <c:pt idx="182">
                  <c:v>13.082752319488092</c:v>
                </c:pt>
                <c:pt idx="183">
                  <c:v>-133.89739270459478</c:v>
                </c:pt>
                <c:pt idx="184">
                  <c:v>-272.14555893230704</c:v>
                </c:pt>
                <c:pt idx="185">
                  <c:v>-378.19032885472285</c:v>
                </c:pt>
                <c:pt idx="186">
                  <c:v>-417.89817083567448</c:v>
                </c:pt>
                <c:pt idx="187">
                  <c:v>177.10944106798985</c:v>
                </c:pt>
                <c:pt idx="188">
                  <c:v>380.99508577154512</c:v>
                </c:pt>
                <c:pt idx="189">
                  <c:v>348.32236695552041</c:v>
                </c:pt>
                <c:pt idx="190">
                  <c:v>274.36328197227937</c:v>
                </c:pt>
                <c:pt idx="191">
                  <c:v>166.45128807865123</c:v>
                </c:pt>
                <c:pt idx="192">
                  <c:v>30.64564007365821</c:v>
                </c:pt>
                <c:pt idx="193">
                  <c:v>-119.62211192008387</c:v>
                </c:pt>
                <c:pt idx="194">
                  <c:v>-263.05377643144885</c:v>
                </c:pt>
                <c:pt idx="195">
                  <c:v>-374.52569512028879</c:v>
                </c:pt>
                <c:pt idx="196">
                  <c:v>-418.31374375007931</c:v>
                </c:pt>
                <c:pt idx="197">
                  <c:v>195.19007053308667</c:v>
                </c:pt>
                <c:pt idx="198">
                  <c:v>380.75394816536453</c:v>
                </c:pt>
                <c:pt idx="199">
                  <c:v>342.98688334700466</c:v>
                </c:pt>
                <c:pt idx="200">
                  <c:v>262.88571764073697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6C-4BFF-97E7-C298837DF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4458911"/>
        <c:axId val="1184470431"/>
      </c:scatterChart>
      <c:valAx>
        <c:axId val="1184458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84470431"/>
        <c:crosses val="autoZero"/>
        <c:crossBetween val="midCat"/>
      </c:valAx>
      <c:valAx>
        <c:axId val="118447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84458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193675</xdr:colOff>
      <xdr:row>6</xdr:row>
      <xdr:rowOff>165100</xdr:rowOff>
    </xdr:from>
    <xdr:ext cx="65" cy="172227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8F024F5C-BD4A-B513-6CC5-F61CFFE9BAFB}"/>
            </a:ext>
          </a:extLst>
        </xdr:cNvPr>
        <xdr:cNvSpPr txBox="1"/>
      </xdr:nvSpPr>
      <xdr:spPr>
        <a:xfrm>
          <a:off x="5413375" y="1270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FR" sz="1100"/>
        </a:p>
      </xdr:txBody>
    </xdr:sp>
    <xdr:clientData/>
  </xdr:oneCellAnchor>
  <xdr:oneCellAnchor>
    <xdr:from>
      <xdr:col>7</xdr:col>
      <xdr:colOff>193675</xdr:colOff>
      <xdr:row>6</xdr:row>
      <xdr:rowOff>165100</xdr:rowOff>
    </xdr:from>
    <xdr:ext cx="65" cy="172227"/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C5767083-F666-5343-4314-61A24E002892}"/>
            </a:ext>
          </a:extLst>
        </xdr:cNvPr>
        <xdr:cNvSpPr txBox="1"/>
      </xdr:nvSpPr>
      <xdr:spPr>
        <a:xfrm>
          <a:off x="5413375" y="1270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FR" sz="1100"/>
        </a:p>
      </xdr:txBody>
    </xdr:sp>
    <xdr:clientData/>
  </xdr:oneCellAnchor>
  <xdr:twoCellAnchor>
    <xdr:from>
      <xdr:col>12</xdr:col>
      <xdr:colOff>419100</xdr:colOff>
      <xdr:row>0</xdr:row>
      <xdr:rowOff>0</xdr:rowOff>
    </xdr:from>
    <xdr:to>
      <xdr:col>18</xdr:col>
      <xdr:colOff>571500</xdr:colOff>
      <xdr:row>14</xdr:row>
      <xdr:rowOff>165100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8AA6E6B8-C522-450F-A8D9-E2593C3C0C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12700</xdr:colOff>
      <xdr:row>0</xdr:row>
      <xdr:rowOff>0</xdr:rowOff>
    </xdr:from>
    <xdr:to>
      <xdr:col>12</xdr:col>
      <xdr:colOff>463550</xdr:colOff>
      <xdr:row>15</xdr:row>
      <xdr:rowOff>19050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6BB379A-7260-420E-9278-F4884F0BA4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603250</xdr:colOff>
      <xdr:row>0</xdr:row>
      <xdr:rowOff>0</xdr:rowOff>
    </xdr:from>
    <xdr:to>
      <xdr:col>6</xdr:col>
      <xdr:colOff>584200</xdr:colOff>
      <xdr:row>15</xdr:row>
      <xdr:rowOff>12700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E902BFE3-BFBA-433C-9A2F-137999505D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6350</xdr:colOff>
      <xdr:row>15</xdr:row>
      <xdr:rowOff>25400</xdr:rowOff>
    </xdr:from>
    <xdr:to>
      <xdr:col>13</xdr:col>
      <xdr:colOff>311150</xdr:colOff>
      <xdr:row>30</xdr:row>
      <xdr:rowOff>6350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18602C28-CF89-464B-AAFE-E992DFE870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7"/>
  <sheetViews>
    <sheetView tabSelected="1" workbookViewId="0">
      <selection activeCell="B3" sqref="B3"/>
    </sheetView>
  </sheetViews>
  <sheetFormatPr baseColWidth="10" defaultColWidth="8.7265625" defaultRowHeight="14.5" x14ac:dyDescent="0.35"/>
  <cols>
    <col min="1" max="1" width="22.36328125" customWidth="1"/>
    <col min="5" max="5" width="14.26953125" customWidth="1"/>
  </cols>
  <sheetData>
    <row r="1" spans="1:6" x14ac:dyDescent="0.35">
      <c r="A1" s="1" t="s">
        <v>0</v>
      </c>
    </row>
    <row r="2" spans="1:6" x14ac:dyDescent="0.35">
      <c r="A2" s="2" t="s">
        <v>1</v>
      </c>
      <c r="B2" s="3">
        <v>1</v>
      </c>
    </row>
    <row r="3" spans="1:6" x14ac:dyDescent="0.35">
      <c r="A3" s="2" t="s">
        <v>2</v>
      </c>
      <c r="B3" s="3">
        <v>0.1</v>
      </c>
    </row>
    <row r="4" spans="1:6" x14ac:dyDescent="0.35">
      <c r="A4" s="2" t="s">
        <v>3</v>
      </c>
      <c r="B4" s="3">
        <v>0.5</v>
      </c>
    </row>
    <row r="5" spans="1:6" x14ac:dyDescent="0.35">
      <c r="A5" s="2" t="s">
        <v>4</v>
      </c>
      <c r="B5" s="3">
        <v>0.8</v>
      </c>
    </row>
    <row r="6" spans="1:6" x14ac:dyDescent="0.35">
      <c r="A6" s="2" t="s">
        <v>5</v>
      </c>
      <c r="B6" s="3">
        <v>0.2</v>
      </c>
    </row>
    <row r="7" spans="1:6" x14ac:dyDescent="0.35">
      <c r="A7" s="2" t="s">
        <v>6</v>
      </c>
      <c r="B7" s="3">
        <v>50</v>
      </c>
    </row>
    <row r="8" spans="1:6" x14ac:dyDescent="0.35">
      <c r="A8" s="2" t="s">
        <v>7</v>
      </c>
      <c r="B8" s="3">
        <v>10</v>
      </c>
    </row>
    <row r="9" spans="1:6" x14ac:dyDescent="0.35">
      <c r="A9" s="2" t="s">
        <v>8</v>
      </c>
      <c r="B9" s="3">
        <v>5000</v>
      </c>
    </row>
    <row r="10" spans="1:6" x14ac:dyDescent="0.35">
      <c r="A10" s="2" t="s">
        <v>9</v>
      </c>
      <c r="B10" s="3">
        <v>9.81</v>
      </c>
    </row>
    <row r="11" spans="1:6" x14ac:dyDescent="0.35">
      <c r="A11" s="2" t="s">
        <v>10</v>
      </c>
      <c r="B11" s="3">
        <v>2</v>
      </c>
    </row>
    <row r="12" spans="1:6" x14ac:dyDescent="0.35">
      <c r="A12" s="2" t="s">
        <v>11</v>
      </c>
      <c r="B12" s="3">
        <v>0.01</v>
      </c>
    </row>
    <row r="13" spans="1:6" x14ac:dyDescent="0.35">
      <c r="A13" s="2" t="s">
        <v>12</v>
      </c>
      <c r="B13" s="4">
        <f>B8+B4^2</f>
        <v>10.25</v>
      </c>
    </row>
    <row r="16" spans="1:6" x14ac:dyDescent="0.35">
      <c r="A16" s="2" t="s">
        <v>13</v>
      </c>
      <c r="B16" s="5" t="s">
        <v>14</v>
      </c>
      <c r="C16" s="2" t="s">
        <v>15</v>
      </c>
      <c r="D16" s="2" t="s">
        <v>16</v>
      </c>
      <c r="E16" s="2" t="s">
        <v>17</v>
      </c>
      <c r="F16" s="5" t="s">
        <v>18</v>
      </c>
    </row>
    <row r="17" spans="1:6" x14ac:dyDescent="0.35">
      <c r="A17">
        <v>0</v>
      </c>
      <c r="B17">
        <v>0</v>
      </c>
      <c r="C17">
        <v>0</v>
      </c>
      <c r="D17">
        <f>SQRT( ($B$2*COS(B17) + $B$3*SIN(B17) - $B$5)^2 + ($B$2*SIN(B17) - $B$3*COS(B17) + $B$6)^2 )</f>
        <v>0.22360679774997894</v>
      </c>
      <c r="E17">
        <f>($B$9 / D17) * (($B$6*$B$3 + $B$5*$B$2)*SIN(B17) - ($B$5*$B$3 - $B$6*$B$2)*COS(B17))</f>
        <v>2683.2815729997483</v>
      </c>
      <c r="F17">
        <f>( -$B$7*$B$10*$B$4*COS(B17) + E17 ) / $B$13</f>
        <v>237.85673882924374</v>
      </c>
    </row>
    <row r="18" spans="1:6" x14ac:dyDescent="0.35">
      <c r="A18">
        <f>A17 + $B$12</f>
        <v>0.01</v>
      </c>
      <c r="B18">
        <f>B17 + $B$12 * C17</f>
        <v>0</v>
      </c>
      <c r="C18">
        <f>C17 + $B$12 * F17</f>
        <v>2.3785673882924376</v>
      </c>
      <c r="D18">
        <f>SQRT( ($B$2*COS(B18) + $B$3*SIN(B18) - $B$5)^2 + ($B$2*SIN(B18) - $B$3*COS(B18) + $B$6)^2 )</f>
        <v>0.22360679774997894</v>
      </c>
      <c r="E18">
        <f>($B$9 / D18) * (($B$6*$B$3 + $B$5*$B$2)*SIN(B18) - ($B$5*$B$3 - $B$6*$B$2)*COS(B18))</f>
        <v>2683.2815729997483</v>
      </c>
      <c r="F18">
        <f>( -$B$7*$B$10*$B$4*COS(B18) + E18 ) / $B$13</f>
        <v>237.85673882924374</v>
      </c>
    </row>
    <row r="19" spans="1:6" x14ac:dyDescent="0.35">
      <c r="A19">
        <f t="shared" ref="A19:A82" si="0">A18 + $B$12</f>
        <v>0.02</v>
      </c>
      <c r="B19">
        <f t="shared" ref="B19:B82" si="1">B18 + $B$12 * C18</f>
        <v>2.3785673882924376E-2</v>
      </c>
      <c r="C19">
        <f t="shared" ref="C19:C82" si="2">C18 + $B$12 * F18</f>
        <v>4.7571347765848753</v>
      </c>
      <c r="D19">
        <f t="shared" ref="D19:D82" si="3">SQRT( ($B$2*COS(B19) + $B$3*SIN(B19) - $B$5)^2 + ($B$2*SIN(B19) - $B$3*COS(B19) + $B$6)^2 )</f>
        <v>0.23700616740678845</v>
      </c>
      <c r="E19">
        <f t="shared" ref="E19:E82" si="4">($B$9 / D19) * (($B$6*$B$3 + $B$5*$B$2)*SIN(B19) - ($B$5*$B$3 - $B$6*$B$2)*COS(B19))</f>
        <v>2942.2962100538057</v>
      </c>
      <c r="F19">
        <f t="shared" ref="F19:F82" si="5">( -$B$7*$B$10*$B$4*COS(B19) + E19 ) / $B$13</f>
        <v>263.13322759925495</v>
      </c>
    </row>
    <row r="20" spans="1:6" x14ac:dyDescent="0.35">
      <c r="A20">
        <f t="shared" si="0"/>
        <v>0.03</v>
      </c>
      <c r="B20">
        <f t="shared" si="1"/>
        <v>7.1357021648773125E-2</v>
      </c>
      <c r="C20">
        <f t="shared" si="2"/>
        <v>7.3884670525774254</v>
      </c>
      <c r="D20">
        <f t="shared" si="3"/>
        <v>0.26699191029700486</v>
      </c>
      <c r="E20">
        <f t="shared" si="4"/>
        <v>3336.3882489436014</v>
      </c>
      <c r="F20">
        <f t="shared" si="5"/>
        <v>301.63535307652455</v>
      </c>
    </row>
    <row r="21" spans="1:6" x14ac:dyDescent="0.35">
      <c r="A21">
        <f t="shared" si="0"/>
        <v>0.04</v>
      </c>
      <c r="B21">
        <f t="shared" si="1"/>
        <v>0.14524169217454738</v>
      </c>
      <c r="C21">
        <f t="shared" si="2"/>
        <v>10.404820583342671</v>
      </c>
      <c r="D21">
        <f t="shared" si="3"/>
        <v>0.31937942090023874</v>
      </c>
      <c r="E21">
        <f t="shared" si="4"/>
        <v>3716.8395278682356</v>
      </c>
      <c r="F21">
        <f t="shared" si="5"/>
        <v>338.94358793468678</v>
      </c>
    </row>
    <row r="22" spans="1:6" x14ac:dyDescent="0.35">
      <c r="A22">
        <f t="shared" si="0"/>
        <v>0.05</v>
      </c>
      <c r="B22">
        <f t="shared" si="1"/>
        <v>0.24928989800797408</v>
      </c>
      <c r="C22">
        <f t="shared" si="2"/>
        <v>13.794256462689539</v>
      </c>
      <c r="D22">
        <f t="shared" si="3"/>
        <v>0.39988463256751777</v>
      </c>
      <c r="E22">
        <f t="shared" si="4"/>
        <v>3983.6184092820959</v>
      </c>
      <c r="F22">
        <f t="shared" si="5"/>
        <v>365.45849870737544</v>
      </c>
    </row>
    <row r="23" spans="1:6" x14ac:dyDescent="0.35">
      <c r="A23">
        <f t="shared" si="0"/>
        <v>6.0000000000000005E-2</v>
      </c>
      <c r="B23">
        <f t="shared" si="1"/>
        <v>0.38723246263486943</v>
      </c>
      <c r="C23">
        <f t="shared" si="2"/>
        <v>17.448841449763293</v>
      </c>
      <c r="D23">
        <f t="shared" si="3"/>
        <v>0.51191787099336472</v>
      </c>
      <c r="E23">
        <f t="shared" si="4"/>
        <v>4109.7340663082268</v>
      </c>
      <c r="F23">
        <f t="shared" si="5"/>
        <v>378.79443315786966</v>
      </c>
    </row>
    <row r="24" spans="1:6" x14ac:dyDescent="0.35">
      <c r="A24">
        <f t="shared" si="0"/>
        <v>7.0000000000000007E-2</v>
      </c>
      <c r="B24">
        <f t="shared" si="1"/>
        <v>0.56172087713250241</v>
      </c>
      <c r="C24">
        <f t="shared" si="2"/>
        <v>21.23678578134199</v>
      </c>
      <c r="D24">
        <f t="shared" si="3"/>
        <v>0.65561973170813348</v>
      </c>
      <c r="E24">
        <f t="shared" si="4"/>
        <v>4105.4925500133368</v>
      </c>
      <c r="F24">
        <f t="shared" si="5"/>
        <v>380.28563181882993</v>
      </c>
    </row>
    <row r="25" spans="1:6" x14ac:dyDescent="0.35">
      <c r="A25">
        <f t="shared" si="0"/>
        <v>0.08</v>
      </c>
      <c r="B25">
        <f t="shared" si="1"/>
        <v>0.77408873494592234</v>
      </c>
      <c r="C25">
        <f t="shared" si="2"/>
        <v>25.03964209953029</v>
      </c>
      <c r="D25">
        <f t="shared" si="3"/>
        <v>0.82769549033358647</v>
      </c>
      <c r="E25">
        <f t="shared" si="4"/>
        <v>3981.1749184745368</v>
      </c>
      <c r="F25">
        <f t="shared" si="5"/>
        <v>371.29822972368333</v>
      </c>
    </row>
    <row r="26" spans="1:6" x14ac:dyDescent="0.35">
      <c r="A26">
        <f t="shared" si="0"/>
        <v>0.09</v>
      </c>
      <c r="B26">
        <f t="shared" si="1"/>
        <v>1.0244851559412251</v>
      </c>
      <c r="C26">
        <f t="shared" si="2"/>
        <v>28.752624396767125</v>
      </c>
      <c r="D26">
        <f t="shared" si="3"/>
        <v>1.0212852209502712</v>
      </c>
      <c r="E26">
        <f t="shared" si="4"/>
        <v>3735.4455017185101</v>
      </c>
      <c r="F26">
        <f t="shared" si="5"/>
        <v>352.00278982251871</v>
      </c>
    </row>
    <row r="27" spans="1:6" x14ac:dyDescent="0.35">
      <c r="A27">
        <f t="shared" si="0"/>
        <v>9.9999999999999992E-2</v>
      </c>
      <c r="B27">
        <f t="shared" si="1"/>
        <v>1.3120113999088963</v>
      </c>
      <c r="C27">
        <f t="shared" si="2"/>
        <v>32.272652294992312</v>
      </c>
      <c r="D27">
        <f t="shared" si="3"/>
        <v>1.225692597238428</v>
      </c>
      <c r="E27">
        <f t="shared" si="4"/>
        <v>3358.9338754268829</v>
      </c>
      <c r="F27">
        <f t="shared" si="5"/>
        <v>321.577843663762</v>
      </c>
    </row>
    <row r="28" spans="1:6" x14ac:dyDescent="0.35">
      <c r="A28">
        <f t="shared" si="0"/>
        <v>0.10999999999999999</v>
      </c>
      <c r="B28">
        <f t="shared" si="1"/>
        <v>1.6347379228588195</v>
      </c>
      <c r="C28">
        <f t="shared" si="2"/>
        <v>35.488430731629933</v>
      </c>
      <c r="D28">
        <f t="shared" si="3"/>
        <v>1.4262897038309472</v>
      </c>
      <c r="E28">
        <f t="shared" si="4"/>
        <v>2841.8367897495355</v>
      </c>
      <c r="F28">
        <f t="shared" si="5"/>
        <v>278.78124707710884</v>
      </c>
    </row>
    <row r="29" spans="1:6" x14ac:dyDescent="0.35">
      <c r="A29">
        <f t="shared" si="0"/>
        <v>0.11999999999999998</v>
      </c>
      <c r="B29">
        <f t="shared" si="1"/>
        <v>1.9896222301751187</v>
      </c>
      <c r="C29">
        <f t="shared" si="2"/>
        <v>38.27624320240102</v>
      </c>
      <c r="D29">
        <f t="shared" si="3"/>
        <v>1.605062181829539</v>
      </c>
      <c r="E29">
        <f t="shared" si="4"/>
        <v>2181.6052482383034</v>
      </c>
      <c r="F29">
        <f t="shared" si="5"/>
        <v>222.57029356918349</v>
      </c>
    </row>
    <row r="30" spans="1:6" x14ac:dyDescent="0.35">
      <c r="A30">
        <f t="shared" si="0"/>
        <v>0.12999999999999998</v>
      </c>
      <c r="B30">
        <f t="shared" si="1"/>
        <v>2.3723846621991291</v>
      </c>
      <c r="C30">
        <f t="shared" si="2"/>
        <v>40.501946138092855</v>
      </c>
      <c r="D30">
        <f t="shared" si="3"/>
        <v>1.7421863498793897</v>
      </c>
      <c r="E30">
        <f t="shared" si="4"/>
        <v>1389.4870000835206</v>
      </c>
      <c r="F30">
        <f t="shared" si="5"/>
        <v>152.75021989816267</v>
      </c>
    </row>
    <row r="31" spans="1:6" x14ac:dyDescent="0.35">
      <c r="A31">
        <f t="shared" si="0"/>
        <v>0.13999999999999999</v>
      </c>
      <c r="B31">
        <f t="shared" si="1"/>
        <v>2.7774041235800575</v>
      </c>
      <c r="C31">
        <f t="shared" si="2"/>
        <v>42.029448337074484</v>
      </c>
      <c r="D31">
        <f t="shared" si="3"/>
        <v>1.8187697421926021</v>
      </c>
      <c r="E31">
        <f t="shared" si="4"/>
        <v>494.69478500289796</v>
      </c>
      <c r="F31">
        <f t="shared" si="5"/>
        <v>70.620448736469456</v>
      </c>
    </row>
    <row r="32" spans="1:6" x14ac:dyDescent="0.35">
      <c r="A32">
        <f t="shared" si="0"/>
        <v>0.15</v>
      </c>
      <c r="B32">
        <f t="shared" si="1"/>
        <v>3.1976986069508024</v>
      </c>
      <c r="C32">
        <f t="shared" si="2"/>
        <v>42.735652824439178</v>
      </c>
      <c r="D32">
        <f t="shared" si="3"/>
        <v>1.820428809857866</v>
      </c>
      <c r="E32">
        <f t="shared" si="4"/>
        <v>-455.3705263713257</v>
      </c>
      <c r="F32">
        <f t="shared" si="5"/>
        <v>-20.537213040295597</v>
      </c>
    </row>
    <row r="33" spans="1:6" x14ac:dyDescent="0.35">
      <c r="A33">
        <f t="shared" si="0"/>
        <v>0.16</v>
      </c>
      <c r="B33">
        <f t="shared" si="1"/>
        <v>3.6250551351951943</v>
      </c>
      <c r="C33">
        <f t="shared" si="2"/>
        <v>42.530280694036222</v>
      </c>
      <c r="D33">
        <f t="shared" si="3"/>
        <v>1.7408266238880155</v>
      </c>
      <c r="E33">
        <f t="shared" si="4"/>
        <v>-1399.972617038216</v>
      </c>
      <c r="F33">
        <f t="shared" si="5"/>
        <v>-115.3981020610278</v>
      </c>
    </row>
    <row r="34" spans="1:6" x14ac:dyDescent="0.35">
      <c r="A34">
        <f t="shared" si="0"/>
        <v>0.17</v>
      </c>
      <c r="B34">
        <f t="shared" si="1"/>
        <v>4.0503579421355562</v>
      </c>
      <c r="C34">
        <f t="shared" si="2"/>
        <v>41.37629967342594</v>
      </c>
      <c r="D34">
        <f t="shared" si="3"/>
        <v>1.5839324693243806</v>
      </c>
      <c r="E34">
        <f t="shared" si="4"/>
        <v>-2274.5211773910619</v>
      </c>
      <c r="F34">
        <f t="shared" si="5"/>
        <v>-207.1962024528703</v>
      </c>
    </row>
    <row r="35" spans="1:6" x14ac:dyDescent="0.35">
      <c r="A35">
        <f t="shared" si="0"/>
        <v>0.18000000000000002</v>
      </c>
      <c r="B35">
        <f t="shared" si="1"/>
        <v>4.464120938869816</v>
      </c>
      <c r="C35">
        <f t="shared" si="2"/>
        <v>39.304337648897238</v>
      </c>
      <c r="D35">
        <f t="shared" si="3"/>
        <v>1.3639458584621733</v>
      </c>
      <c r="E35">
        <f t="shared" si="4"/>
        <v>-3021.9139938990375</v>
      </c>
      <c r="F35">
        <f t="shared" si="5"/>
        <v>-288.94144601572862</v>
      </c>
    </row>
    <row r="36" spans="1:6" x14ac:dyDescent="0.35">
      <c r="A36">
        <f t="shared" si="0"/>
        <v>0.19000000000000003</v>
      </c>
      <c r="B36">
        <f t="shared" si="1"/>
        <v>4.857164315358788</v>
      </c>
      <c r="C36">
        <f t="shared" si="2"/>
        <v>36.414923188739955</v>
      </c>
      <c r="D36">
        <f t="shared" si="3"/>
        <v>1.1026820951425496</v>
      </c>
      <c r="E36">
        <f t="shared" si="4"/>
        <v>-3600.806754533985</v>
      </c>
      <c r="F36">
        <f t="shared" si="5"/>
        <v>-354.75014645308681</v>
      </c>
    </row>
    <row r="37" spans="1:6" x14ac:dyDescent="0.35">
      <c r="A37">
        <f t="shared" si="0"/>
        <v>0.20000000000000004</v>
      </c>
      <c r="B37">
        <f t="shared" si="1"/>
        <v>5.2213135472461873</v>
      </c>
      <c r="C37">
        <f t="shared" si="2"/>
        <v>32.867421724209088</v>
      </c>
      <c r="D37">
        <f t="shared" si="3"/>
        <v>0.82543593642809909</v>
      </c>
      <c r="E37">
        <f t="shared" si="4"/>
        <v>-3983.4222656354586</v>
      </c>
      <c r="F37">
        <f t="shared" si="5"/>
        <v>-400.2846321852906</v>
      </c>
    </row>
    <row r="38" spans="1:6" x14ac:dyDescent="0.35">
      <c r="A38">
        <f t="shared" si="0"/>
        <v>0.21000000000000005</v>
      </c>
      <c r="B38">
        <f t="shared" si="1"/>
        <v>5.5499877644882787</v>
      </c>
      <c r="C38">
        <f t="shared" si="2"/>
        <v>28.864575402356181</v>
      </c>
      <c r="D38">
        <f t="shared" si="3"/>
        <v>0.55749216884748476</v>
      </c>
      <c r="E38">
        <f t="shared" si="4"/>
        <v>-4122.2063142090065</v>
      </c>
      <c r="F38">
        <f t="shared" si="5"/>
        <v>-419.94501908435961</v>
      </c>
    </row>
    <row r="39" spans="1:6" x14ac:dyDescent="0.35">
      <c r="A39">
        <f t="shared" si="0"/>
        <v>0.22000000000000006</v>
      </c>
      <c r="B39">
        <f t="shared" si="1"/>
        <v>5.8386335185118403</v>
      </c>
      <c r="C39">
        <f t="shared" si="2"/>
        <v>24.665125211512585</v>
      </c>
      <c r="D39">
        <f t="shared" si="3"/>
        <v>0.32586723650422583</v>
      </c>
      <c r="E39">
        <f t="shared" si="4"/>
        <v>-3748.5705567513028</v>
      </c>
      <c r="F39">
        <f t="shared" si="5"/>
        <v>-387.31542612499874</v>
      </c>
    </row>
    <row r="40" spans="1:6" x14ac:dyDescent="0.35">
      <c r="A40">
        <f t="shared" si="0"/>
        <v>0.23000000000000007</v>
      </c>
      <c r="B40">
        <f t="shared" si="1"/>
        <v>6.0852847706269664</v>
      </c>
      <c r="C40">
        <f t="shared" si="2"/>
        <v>20.791970950262598</v>
      </c>
      <c r="D40">
        <f t="shared" si="3"/>
        <v>0.18661083963302258</v>
      </c>
      <c r="E40">
        <f t="shared" si="4"/>
        <v>-1167.2276945906165</v>
      </c>
      <c r="F40">
        <f t="shared" si="5"/>
        <v>-137.33568649117888</v>
      </c>
    </row>
    <row r="41" spans="1:6" x14ac:dyDescent="0.35">
      <c r="A41">
        <f t="shared" si="0"/>
        <v>0.24000000000000007</v>
      </c>
      <c r="B41">
        <f t="shared" si="1"/>
        <v>6.2932044801295923</v>
      </c>
      <c r="C41">
        <f t="shared" si="2"/>
        <v>19.418614085350811</v>
      </c>
      <c r="D41">
        <f t="shared" si="3"/>
        <v>0.2291001425728792</v>
      </c>
      <c r="E41">
        <f t="shared" si="4"/>
        <v>2798.111776500366</v>
      </c>
      <c r="F41">
        <f t="shared" si="5"/>
        <v>249.06088643552485</v>
      </c>
    </row>
    <row r="42" spans="1:6" x14ac:dyDescent="0.35">
      <c r="A42">
        <f t="shared" si="0"/>
        <v>0.25000000000000006</v>
      </c>
      <c r="B42">
        <f t="shared" si="1"/>
        <v>6.4873906209831</v>
      </c>
      <c r="C42">
        <f t="shared" si="2"/>
        <v>21.909222949706059</v>
      </c>
      <c r="D42">
        <f t="shared" si="3"/>
        <v>0.36434126611486306</v>
      </c>
      <c r="E42">
        <f t="shared" si="4"/>
        <v>3894.6139324976275</v>
      </c>
      <c r="F42">
        <f t="shared" si="5"/>
        <v>356.53264656407782</v>
      </c>
    </row>
    <row r="43" spans="1:6" x14ac:dyDescent="0.35">
      <c r="A43">
        <f t="shared" si="0"/>
        <v>0.26000000000000006</v>
      </c>
      <c r="B43">
        <f t="shared" si="1"/>
        <v>6.7064828504801604</v>
      </c>
      <c r="C43">
        <f t="shared" si="2"/>
        <v>25.474549415346836</v>
      </c>
      <c r="D43">
        <f t="shared" si="3"/>
        <v>0.54160136225237143</v>
      </c>
      <c r="E43">
        <f t="shared" si="4"/>
        <v>4119.6300819576718</v>
      </c>
      <c r="F43">
        <f t="shared" si="5"/>
        <v>380.10009768875233</v>
      </c>
    </row>
    <row r="44" spans="1:6" x14ac:dyDescent="0.35">
      <c r="A44">
        <f t="shared" si="0"/>
        <v>0.27000000000000007</v>
      </c>
      <c r="B44">
        <f t="shared" si="1"/>
        <v>6.9612283446336285</v>
      </c>
      <c r="C44">
        <f t="shared" si="2"/>
        <v>29.275550392234358</v>
      </c>
      <c r="D44">
        <f t="shared" si="3"/>
        <v>0.75053977778757408</v>
      </c>
      <c r="E44">
        <f t="shared" si="4"/>
        <v>4049.2039423564202</v>
      </c>
      <c r="F44">
        <f t="shared" si="5"/>
        <v>376.41003047106608</v>
      </c>
    </row>
    <row r="45" spans="1:6" x14ac:dyDescent="0.35">
      <c r="A45">
        <f t="shared" si="0"/>
        <v>0.28000000000000008</v>
      </c>
      <c r="B45">
        <f t="shared" si="1"/>
        <v>7.253983848555972</v>
      </c>
      <c r="C45">
        <f t="shared" si="2"/>
        <v>33.039650696945017</v>
      </c>
      <c r="D45">
        <f t="shared" si="3"/>
        <v>0.9808517670204574</v>
      </c>
      <c r="E45">
        <f t="shared" si="4"/>
        <v>3795.3395818757813</v>
      </c>
      <c r="F45">
        <f t="shared" si="5"/>
        <v>356.76697205242056</v>
      </c>
    </row>
    <row r="46" spans="1:6" x14ac:dyDescent="0.35">
      <c r="A46">
        <f t="shared" si="0"/>
        <v>0.29000000000000009</v>
      </c>
      <c r="B46">
        <f t="shared" si="1"/>
        <v>7.5843803555254219</v>
      </c>
      <c r="C46">
        <f t="shared" si="2"/>
        <v>36.607320417469225</v>
      </c>
      <c r="D46">
        <f t="shared" si="3"/>
        <v>1.2184092960557726</v>
      </c>
      <c r="E46">
        <f t="shared" si="4"/>
        <v>3374.6497989693412</v>
      </c>
      <c r="F46">
        <f t="shared" si="5"/>
        <v>322.86128420130154</v>
      </c>
    </row>
    <row r="47" spans="1:6" x14ac:dyDescent="0.35">
      <c r="A47">
        <f t="shared" si="0"/>
        <v>0.3000000000000001</v>
      </c>
      <c r="B47">
        <f t="shared" si="1"/>
        <v>7.9504535597001142</v>
      </c>
      <c r="C47">
        <f t="shared" si="2"/>
        <v>39.835933259482239</v>
      </c>
      <c r="D47">
        <f t="shared" si="3"/>
        <v>1.4445943051850938</v>
      </c>
      <c r="E47">
        <f t="shared" si="4"/>
        <v>2784.9634732271866</v>
      </c>
      <c r="F47">
        <f t="shared" si="5"/>
        <v>274.00844200452946</v>
      </c>
    </row>
    <row r="48" spans="1:6" x14ac:dyDescent="0.35">
      <c r="A48">
        <f t="shared" si="0"/>
        <v>0.31000000000000011</v>
      </c>
      <c r="B48">
        <f t="shared" si="1"/>
        <v>8.3488128922949372</v>
      </c>
      <c r="C48">
        <f t="shared" si="2"/>
        <v>42.576017679527531</v>
      </c>
      <c r="D48">
        <f t="shared" si="3"/>
        <v>1.6370766942475883</v>
      </c>
      <c r="E48">
        <f t="shared" si="4"/>
        <v>2030.0028842213915</v>
      </c>
      <c r="F48">
        <f t="shared" si="5"/>
        <v>209.41151009783187</v>
      </c>
    </row>
    <row r="49" spans="1:6" x14ac:dyDescent="0.35">
      <c r="A49">
        <f t="shared" si="0"/>
        <v>0.32000000000000012</v>
      </c>
      <c r="B49">
        <f t="shared" si="1"/>
        <v>8.7745730690902128</v>
      </c>
      <c r="C49">
        <f t="shared" si="2"/>
        <v>44.670132780505853</v>
      </c>
      <c r="D49">
        <f t="shared" si="3"/>
        <v>1.7721901497896866</v>
      </c>
      <c r="E49">
        <f t="shared" si="4"/>
        <v>1131.0056632689543</v>
      </c>
      <c r="F49">
        <f t="shared" si="5"/>
        <v>129.38680978920448</v>
      </c>
    </row>
    <row r="50" spans="1:6" x14ac:dyDescent="0.35">
      <c r="A50">
        <f t="shared" si="0"/>
        <v>0.33000000000000013</v>
      </c>
      <c r="B50">
        <f t="shared" si="1"/>
        <v>9.2212743968952715</v>
      </c>
      <c r="C50">
        <f t="shared" si="2"/>
        <v>45.964000878397897</v>
      </c>
      <c r="D50">
        <f t="shared" si="3"/>
        <v>1.828841775910895</v>
      </c>
      <c r="E50">
        <f t="shared" si="4"/>
        <v>131.77673396039245</v>
      </c>
      <c r="F50">
        <f t="shared" si="5"/>
        <v>36.289354232399077</v>
      </c>
    </row>
    <row r="51" spans="1:6" x14ac:dyDescent="0.35">
      <c r="A51">
        <f t="shared" si="0"/>
        <v>0.34000000000000014</v>
      </c>
      <c r="B51">
        <f t="shared" si="1"/>
        <v>9.6809144056792498</v>
      </c>
      <c r="C51">
        <f t="shared" si="2"/>
        <v>46.326894420721885</v>
      </c>
      <c r="D51">
        <f t="shared" si="3"/>
        <v>1.7932355860104745</v>
      </c>
      <c r="E51">
        <f t="shared" si="4"/>
        <v>-902.91530998509211</v>
      </c>
      <c r="F51">
        <f t="shared" si="5"/>
        <v>-64.943057956638143</v>
      </c>
    </row>
    <row r="52" spans="1:6" x14ac:dyDescent="0.35">
      <c r="A52">
        <f t="shared" si="0"/>
        <v>0.35000000000000014</v>
      </c>
      <c r="B52">
        <f t="shared" si="1"/>
        <v>10.144183349886468</v>
      </c>
      <c r="C52">
        <f t="shared" si="2"/>
        <v>45.6774638411555</v>
      </c>
      <c r="D52">
        <f t="shared" si="3"/>
        <v>1.6629669807032146</v>
      </c>
      <c r="E52">
        <f t="shared" si="4"/>
        <v>-1895.9862025539023</v>
      </c>
      <c r="F52">
        <f t="shared" si="5"/>
        <v>-166.97655835360055</v>
      </c>
    </row>
    <row r="53" spans="1:6" x14ac:dyDescent="0.35">
      <c r="A53">
        <f t="shared" si="0"/>
        <v>0.36000000000000015</v>
      </c>
      <c r="B53">
        <f t="shared" si="1"/>
        <v>10.600957988298024</v>
      </c>
      <c r="C53">
        <f t="shared" si="2"/>
        <v>44.007698257619495</v>
      </c>
      <c r="D53">
        <f t="shared" si="3"/>
        <v>1.4487753360915003</v>
      </c>
      <c r="E53">
        <f t="shared" si="4"/>
        <v>-2771.6950370018158</v>
      </c>
      <c r="F53">
        <f t="shared" si="5"/>
        <v>-261.21050653880104</v>
      </c>
    </row>
    <row r="54" spans="1:6" x14ac:dyDescent="0.35">
      <c r="A54">
        <f t="shared" si="0"/>
        <v>0.37000000000000016</v>
      </c>
      <c r="B54">
        <f t="shared" si="1"/>
        <v>11.041034970874218</v>
      </c>
      <c r="C54">
        <f t="shared" si="2"/>
        <v>41.395593192231487</v>
      </c>
      <c r="D54">
        <f t="shared" si="3"/>
        <v>1.1729101053275899</v>
      </c>
      <c r="E54">
        <f t="shared" si="4"/>
        <v>-3468.7202491186717</v>
      </c>
      <c r="F54">
        <f t="shared" si="5"/>
        <v>-339.49908700418592</v>
      </c>
    </row>
    <row r="55" spans="1:6" x14ac:dyDescent="0.35">
      <c r="A55">
        <f t="shared" si="0"/>
        <v>0.38000000000000017</v>
      </c>
      <c r="B55">
        <f t="shared" si="1"/>
        <v>11.454990902796533</v>
      </c>
      <c r="C55">
        <f t="shared" si="2"/>
        <v>38.000602322189629</v>
      </c>
      <c r="D55">
        <f t="shared" si="3"/>
        <v>0.86467786287221726</v>
      </c>
      <c r="E55">
        <f t="shared" si="4"/>
        <v>-3942.3020498860883</v>
      </c>
      <c r="F55">
        <f t="shared" si="5"/>
        <v>-395.22459529614309</v>
      </c>
    </row>
    <row r="56" spans="1:6" x14ac:dyDescent="0.35">
      <c r="A56">
        <f t="shared" si="0"/>
        <v>0.39000000000000018</v>
      </c>
      <c r="B56">
        <f t="shared" si="1"/>
        <v>11.83499692601843</v>
      </c>
      <c r="C56">
        <f t="shared" si="2"/>
        <v>34.048356369228195</v>
      </c>
      <c r="D56">
        <f t="shared" si="3"/>
        <v>0.55598853850788355</v>
      </c>
      <c r="E56">
        <f t="shared" si="4"/>
        <v>-4122.03687655052</v>
      </c>
      <c r="F56">
        <f t="shared" si="5"/>
        <v>-419.95766438467513</v>
      </c>
    </row>
    <row r="57" spans="1:6" x14ac:dyDescent="0.35">
      <c r="A57">
        <f t="shared" si="0"/>
        <v>0.40000000000000019</v>
      </c>
      <c r="B57">
        <f t="shared" si="1"/>
        <v>12.175480489710711</v>
      </c>
      <c r="C57">
        <f t="shared" si="2"/>
        <v>29.848779725381444</v>
      </c>
      <c r="D57">
        <f t="shared" si="3"/>
        <v>0.28681347895068998</v>
      </c>
      <c r="E57">
        <f t="shared" si="4"/>
        <v>-3512.4052973954294</v>
      </c>
      <c r="F57">
        <f t="shared" si="5"/>
        <v>-364.79572274882315</v>
      </c>
    </row>
    <row r="58" spans="1:6" x14ac:dyDescent="0.35">
      <c r="A58">
        <f t="shared" si="0"/>
        <v>0.4100000000000002</v>
      </c>
      <c r="B58">
        <f t="shared" si="1"/>
        <v>12.473968286964526</v>
      </c>
      <c r="C58">
        <f t="shared" si="2"/>
        <v>26.200822497893213</v>
      </c>
      <c r="D58">
        <f t="shared" si="3"/>
        <v>0.18668508687105584</v>
      </c>
      <c r="E58">
        <f t="shared" si="4"/>
        <v>1173.7933174892389</v>
      </c>
      <c r="F58">
        <f t="shared" si="5"/>
        <v>90.691665200905675</v>
      </c>
    </row>
    <row r="59" spans="1:6" x14ac:dyDescent="0.35">
      <c r="A59">
        <f t="shared" si="0"/>
        <v>0.42000000000000021</v>
      </c>
      <c r="B59">
        <f t="shared" si="1"/>
        <v>12.735976511943457</v>
      </c>
      <c r="C59">
        <f t="shared" si="2"/>
        <v>27.107739149902269</v>
      </c>
      <c r="D59">
        <f t="shared" si="3"/>
        <v>0.33770149543103534</v>
      </c>
      <c r="E59">
        <f t="shared" si="4"/>
        <v>3800.5335675258802</v>
      </c>
      <c r="F59">
        <f t="shared" si="5"/>
        <v>347.20025074408301</v>
      </c>
    </row>
    <row r="60" spans="1:6" x14ac:dyDescent="0.35">
      <c r="A60">
        <f t="shared" si="0"/>
        <v>0.43000000000000022</v>
      </c>
      <c r="B60">
        <f t="shared" si="1"/>
        <v>13.007053903442481</v>
      </c>
      <c r="C60">
        <f t="shared" si="2"/>
        <v>30.579741657343099</v>
      </c>
      <c r="D60">
        <f t="shared" si="3"/>
        <v>0.55593051842525887</v>
      </c>
      <c r="E60">
        <f t="shared" si="4"/>
        <v>4122.030035648786</v>
      </c>
      <c r="F60">
        <f t="shared" si="5"/>
        <v>380.50840190680265</v>
      </c>
    </row>
    <row r="61" spans="1:6" x14ac:dyDescent="0.35">
      <c r="A61">
        <f t="shared" si="0"/>
        <v>0.44000000000000022</v>
      </c>
      <c r="B61">
        <f t="shared" si="1"/>
        <v>13.312851320015913</v>
      </c>
      <c r="C61">
        <f t="shared" si="2"/>
        <v>34.384825676411126</v>
      </c>
      <c r="D61">
        <f t="shared" si="3"/>
        <v>0.8056536492809514</v>
      </c>
      <c r="E61">
        <f t="shared" si="4"/>
        <v>4002.4568239405066</v>
      </c>
      <c r="F61">
        <f t="shared" si="5"/>
        <v>372.9193087007036</v>
      </c>
    </row>
    <row r="62" spans="1:6" x14ac:dyDescent="0.35">
      <c r="A62">
        <f t="shared" si="0"/>
        <v>0.45000000000000023</v>
      </c>
      <c r="B62">
        <f t="shared" si="1"/>
        <v>13.656699576780024</v>
      </c>
      <c r="C62">
        <f t="shared" si="2"/>
        <v>38.114018763418159</v>
      </c>
      <c r="D62">
        <f t="shared" si="3"/>
        <v>1.0699669783492658</v>
      </c>
      <c r="E62">
        <f t="shared" si="4"/>
        <v>3657.2251405204438</v>
      </c>
      <c r="F62">
        <f t="shared" si="5"/>
        <v>345.74362358500213</v>
      </c>
    </row>
    <row r="63" spans="1:6" x14ac:dyDescent="0.35">
      <c r="A63">
        <f t="shared" si="0"/>
        <v>0.46000000000000024</v>
      </c>
      <c r="B63">
        <f t="shared" si="1"/>
        <v>14.037839764414207</v>
      </c>
      <c r="C63">
        <f t="shared" si="2"/>
        <v>41.571454999268177</v>
      </c>
      <c r="D63">
        <f t="shared" si="3"/>
        <v>1.3289801419659795</v>
      </c>
      <c r="E63">
        <f t="shared" si="4"/>
        <v>3114.6363898347263</v>
      </c>
      <c r="F63">
        <f t="shared" si="5"/>
        <v>301.4942863876995</v>
      </c>
    </row>
    <row r="64" spans="1:6" x14ac:dyDescent="0.35">
      <c r="A64">
        <f t="shared" si="0"/>
        <v>0.47000000000000025</v>
      </c>
      <c r="B64">
        <f t="shared" si="1"/>
        <v>14.453554314406889</v>
      </c>
      <c r="C64">
        <f t="shared" si="2"/>
        <v>44.586397863145173</v>
      </c>
      <c r="D64">
        <f t="shared" si="3"/>
        <v>1.5583162755187412</v>
      </c>
      <c r="E64">
        <f t="shared" si="4"/>
        <v>2380.6578831169254</v>
      </c>
      <c r="F64">
        <f t="shared" si="5"/>
        <v>239.70378644412591</v>
      </c>
    </row>
    <row r="65" spans="1:6" x14ac:dyDescent="0.35">
      <c r="A65">
        <f t="shared" si="0"/>
        <v>0.48000000000000026</v>
      </c>
      <c r="B65">
        <f t="shared" si="1"/>
        <v>14.899418293038341</v>
      </c>
      <c r="C65">
        <f t="shared" si="2"/>
        <v>46.983435727586432</v>
      </c>
      <c r="D65">
        <f t="shared" si="3"/>
        <v>1.7309224469132516</v>
      </c>
      <c r="E65">
        <f t="shared" si="4"/>
        <v>1473.8557862104285</v>
      </c>
      <c r="F65">
        <f t="shared" si="5"/>
        <v>160.31351765728647</v>
      </c>
    </row>
    <row r="66" spans="1:6" x14ac:dyDescent="0.35">
      <c r="A66">
        <f t="shared" si="0"/>
        <v>0.49000000000000027</v>
      </c>
      <c r="B66">
        <f t="shared" si="1"/>
        <v>15.369252650314206</v>
      </c>
      <c r="C66">
        <f t="shared" si="2"/>
        <v>48.586570904159295</v>
      </c>
      <c r="D66">
        <f t="shared" si="3"/>
        <v>1.8211443249006041</v>
      </c>
      <c r="E66">
        <f t="shared" si="4"/>
        <v>437.30843576903573</v>
      </c>
      <c r="F66">
        <f t="shared" si="5"/>
        <v>65.231637160605203</v>
      </c>
    </row>
    <row r="67" spans="1:6" x14ac:dyDescent="0.35">
      <c r="A67">
        <f t="shared" si="0"/>
        <v>0.50000000000000022</v>
      </c>
      <c r="B67">
        <f t="shared" si="1"/>
        <v>15.855118359355799</v>
      </c>
      <c r="C67">
        <f t="shared" si="2"/>
        <v>49.23888727576535</v>
      </c>
      <c r="D67">
        <f t="shared" si="3"/>
        <v>1.8102721713593299</v>
      </c>
      <c r="E67">
        <f t="shared" si="4"/>
        <v>-659.94278474865632</v>
      </c>
      <c r="F67">
        <f t="shared" si="5"/>
        <v>-40.716428711650153</v>
      </c>
    </row>
    <row r="68" spans="1:6" x14ac:dyDescent="0.35">
      <c r="A68">
        <f t="shared" si="0"/>
        <v>0.51000000000000023</v>
      </c>
      <c r="B68">
        <f t="shared" si="1"/>
        <v>16.347507232113454</v>
      </c>
      <c r="C68">
        <f t="shared" si="2"/>
        <v>48.831722988648849</v>
      </c>
      <c r="D68">
        <f t="shared" si="3"/>
        <v>1.6919351184658402</v>
      </c>
      <c r="E68">
        <f t="shared" si="4"/>
        <v>-1730.8123208677832</v>
      </c>
      <c r="F68">
        <f t="shared" si="5"/>
        <v>-149.66161606835246</v>
      </c>
    </row>
    <row r="69" spans="1:6" x14ac:dyDescent="0.35">
      <c r="A69">
        <f t="shared" si="0"/>
        <v>0.52000000000000024</v>
      </c>
      <c r="B69">
        <f t="shared" si="1"/>
        <v>16.835824461999941</v>
      </c>
      <c r="C69">
        <f t="shared" si="2"/>
        <v>47.335106827965326</v>
      </c>
      <c r="D69">
        <f t="shared" si="3"/>
        <v>1.4751452190103806</v>
      </c>
      <c r="E69">
        <f t="shared" si="4"/>
        <v>-2685.4955960946681</v>
      </c>
      <c r="F69">
        <f t="shared" si="5"/>
        <v>-251.74469420219239</v>
      </c>
    </row>
    <row r="70" spans="1:6" x14ac:dyDescent="0.35">
      <c r="A70">
        <f t="shared" si="0"/>
        <v>0.53000000000000025</v>
      </c>
      <c r="B70">
        <f t="shared" si="1"/>
        <v>17.309175530279596</v>
      </c>
      <c r="C70">
        <f t="shared" si="2"/>
        <v>44.817659885943399</v>
      </c>
      <c r="D70">
        <f t="shared" si="3"/>
        <v>1.1833159187382527</v>
      </c>
      <c r="E70">
        <f t="shared" si="4"/>
        <v>-3447.8171207612195</v>
      </c>
      <c r="F70">
        <f t="shared" si="5"/>
        <v>-337.10004671575609</v>
      </c>
    </row>
    <row r="71" spans="1:6" x14ac:dyDescent="0.35">
      <c r="A71">
        <f t="shared" si="0"/>
        <v>0.54000000000000026</v>
      </c>
      <c r="B71">
        <f t="shared" si="1"/>
        <v>17.757352129139029</v>
      </c>
      <c r="C71">
        <f t="shared" si="2"/>
        <v>41.446659418785842</v>
      </c>
      <c r="D71">
        <f t="shared" si="3"/>
        <v>0.84952677776123375</v>
      </c>
      <c r="E71">
        <f t="shared" si="4"/>
        <v>-3958.7005769769535</v>
      </c>
      <c r="F71">
        <f t="shared" si="5"/>
        <v>-397.23372038688751</v>
      </c>
    </row>
    <row r="72" spans="1:6" x14ac:dyDescent="0.35">
      <c r="A72">
        <f t="shared" si="0"/>
        <v>0.55000000000000027</v>
      </c>
      <c r="B72">
        <f t="shared" si="1"/>
        <v>18.171818723326886</v>
      </c>
      <c r="C72">
        <f t="shared" si="2"/>
        <v>37.474322214916967</v>
      </c>
      <c r="D72">
        <f t="shared" si="3"/>
        <v>0.51182311278268</v>
      </c>
      <c r="E72">
        <f t="shared" si="4"/>
        <v>-4109.6908177796322</v>
      </c>
      <c r="F72">
        <f t="shared" si="5"/>
        <v>-419.58429156799133</v>
      </c>
    </row>
    <row r="73" spans="1:6" x14ac:dyDescent="0.35">
      <c r="A73">
        <f t="shared" si="0"/>
        <v>0.56000000000000028</v>
      </c>
      <c r="B73">
        <f t="shared" si="1"/>
        <v>18.546561945476057</v>
      </c>
      <c r="C73">
        <f t="shared" si="2"/>
        <v>33.278479299237055</v>
      </c>
      <c r="D73">
        <f t="shared" si="3"/>
        <v>0.23042401321035599</v>
      </c>
      <c r="E73">
        <f t="shared" si="4"/>
        <v>-2823.8636116100352</v>
      </c>
      <c r="F73">
        <f t="shared" si="5"/>
        <v>-298.33578959907823</v>
      </c>
    </row>
    <row r="74" spans="1:6" x14ac:dyDescent="0.35">
      <c r="A74">
        <f t="shared" si="0"/>
        <v>0.57000000000000028</v>
      </c>
      <c r="B74">
        <f t="shared" si="1"/>
        <v>18.879346738468428</v>
      </c>
      <c r="C74">
        <f t="shared" si="2"/>
        <v>30.295121403246274</v>
      </c>
      <c r="D74">
        <f t="shared" si="3"/>
        <v>0.24057520403833607</v>
      </c>
      <c r="E74">
        <f t="shared" si="4"/>
        <v>3000.550527288467</v>
      </c>
      <c r="F74">
        <f t="shared" si="5"/>
        <v>268.82042419915166</v>
      </c>
    </row>
    <row r="75" spans="1:6" x14ac:dyDescent="0.35">
      <c r="A75">
        <f t="shared" si="0"/>
        <v>0.58000000000000029</v>
      </c>
      <c r="B75">
        <f t="shared" si="1"/>
        <v>19.182297952500889</v>
      </c>
      <c r="C75">
        <f t="shared" si="2"/>
        <v>32.983325645237791</v>
      </c>
      <c r="D75">
        <f t="shared" si="3"/>
        <v>0.46727529229322173</v>
      </c>
      <c r="E75">
        <f t="shared" si="4"/>
        <v>4079.6021286001069</v>
      </c>
      <c r="F75">
        <f t="shared" si="5"/>
        <v>375.39551505081926</v>
      </c>
    </row>
    <row r="76" spans="1:6" x14ac:dyDescent="0.35">
      <c r="A76">
        <f t="shared" si="0"/>
        <v>0.5900000000000003</v>
      </c>
      <c r="B76">
        <f t="shared" si="1"/>
        <v>19.512131208953267</v>
      </c>
      <c r="C76">
        <f t="shared" si="2"/>
        <v>36.737280795745981</v>
      </c>
      <c r="D76">
        <f t="shared" si="3"/>
        <v>0.73799887591754976</v>
      </c>
      <c r="E76">
        <f t="shared" si="4"/>
        <v>4058.4864240124298</v>
      </c>
      <c r="F76">
        <f t="shared" si="5"/>
        <v>377.08572773517022</v>
      </c>
    </row>
    <row r="77" spans="1:6" x14ac:dyDescent="0.35">
      <c r="A77">
        <f t="shared" si="0"/>
        <v>0.60000000000000031</v>
      </c>
      <c r="B77">
        <f t="shared" si="1"/>
        <v>19.879504016910726</v>
      </c>
      <c r="C77">
        <f t="shared" si="2"/>
        <v>40.508138073097683</v>
      </c>
      <c r="D77">
        <f t="shared" si="3"/>
        <v>1.0253630883700333</v>
      </c>
      <c r="E77">
        <f t="shared" si="4"/>
        <v>3729.1514990882251</v>
      </c>
      <c r="F77">
        <f t="shared" si="5"/>
        <v>351.50061116562131</v>
      </c>
    </row>
    <row r="78" spans="1:6" x14ac:dyDescent="0.35">
      <c r="A78">
        <f t="shared" si="0"/>
        <v>0.61000000000000032</v>
      </c>
      <c r="B78">
        <f t="shared" si="1"/>
        <v>20.284585397641703</v>
      </c>
      <c r="C78">
        <f t="shared" si="2"/>
        <v>44.023144184753896</v>
      </c>
      <c r="D78">
        <f t="shared" si="3"/>
        <v>1.3060693862296766</v>
      </c>
      <c r="E78">
        <f t="shared" si="4"/>
        <v>3172.4816691904853</v>
      </c>
      <c r="F78">
        <f t="shared" si="5"/>
        <v>306.27190694587921</v>
      </c>
    </row>
    <row r="79" spans="1:6" x14ac:dyDescent="0.35">
      <c r="A79">
        <f t="shared" si="0"/>
        <v>0.62000000000000033</v>
      </c>
      <c r="B79">
        <f t="shared" si="1"/>
        <v>20.724816839489243</v>
      </c>
      <c r="C79">
        <f t="shared" si="2"/>
        <v>47.08586325421269</v>
      </c>
      <c r="D79">
        <f t="shared" si="3"/>
        <v>1.5526123195543393</v>
      </c>
      <c r="E79">
        <f t="shared" si="4"/>
        <v>2403.4085224973933</v>
      </c>
      <c r="F79">
        <f t="shared" si="5"/>
        <v>241.65172336193521</v>
      </c>
    </row>
    <row r="80" spans="1:6" x14ac:dyDescent="0.35">
      <c r="A80">
        <f t="shared" si="0"/>
        <v>0.63000000000000034</v>
      </c>
      <c r="B80">
        <f t="shared" si="1"/>
        <v>21.195675472031368</v>
      </c>
      <c r="C80">
        <f t="shared" si="2"/>
        <v>49.502380487832042</v>
      </c>
      <c r="D80">
        <f t="shared" si="3"/>
        <v>1.7347391067493969</v>
      </c>
      <c r="E80">
        <f t="shared" si="4"/>
        <v>1445.8834917411389</v>
      </c>
      <c r="F80">
        <f t="shared" si="5"/>
        <v>157.80931539973597</v>
      </c>
    </row>
    <row r="81" spans="1:6" x14ac:dyDescent="0.35">
      <c r="A81">
        <f t="shared" si="0"/>
        <v>0.64000000000000035</v>
      </c>
      <c r="B81">
        <f t="shared" si="1"/>
        <v>21.69069927690969</v>
      </c>
      <c r="C81">
        <f t="shared" si="2"/>
        <v>51.0804736418294</v>
      </c>
      <c r="D81">
        <f t="shared" si="3"/>
        <v>1.8241605708145381</v>
      </c>
      <c r="E81">
        <f t="shared" si="4"/>
        <v>350.99454106738727</v>
      </c>
      <c r="F81">
        <f t="shared" si="5"/>
        <v>57.098363696750049</v>
      </c>
    </row>
    <row r="82" spans="1:6" x14ac:dyDescent="0.35">
      <c r="A82">
        <f t="shared" si="0"/>
        <v>0.65000000000000036</v>
      </c>
      <c r="B82">
        <f t="shared" si="1"/>
        <v>22.201504013327984</v>
      </c>
      <c r="C82">
        <f t="shared" si="2"/>
        <v>51.651457278796897</v>
      </c>
      <c r="D82">
        <f t="shared" si="3"/>
        <v>1.801037278841048</v>
      </c>
      <c r="E82">
        <f t="shared" si="4"/>
        <v>-801.14103602723742</v>
      </c>
      <c r="F82">
        <f t="shared" si="5"/>
        <v>-54.760696687401186</v>
      </c>
    </row>
    <row r="83" spans="1:6" x14ac:dyDescent="0.35">
      <c r="A83">
        <f t="shared" ref="A83:A146" si="6">A82 + $B$12</f>
        <v>0.66000000000000036</v>
      </c>
      <c r="B83">
        <f t="shared" ref="B83:B146" si="7">B82 + $B$12 * C82</f>
        <v>22.718018586115953</v>
      </c>
      <c r="C83">
        <f t="shared" ref="C83:C146" si="8">C82 + $B$12 * F82</f>
        <v>51.103850311922884</v>
      </c>
      <c r="D83">
        <f t="shared" ref="D83:D146" si="9">SQRT( ($B$2*COS(B83) + $B$3*SIN(B83) - $B$5)^2 + ($B$2*SIN(B83) - $B$3*COS(B83) + $B$6)^2 )</f>
        <v>1.6601250058008745</v>
      </c>
      <c r="E83">
        <f t="shared" ref="E83:E146" si="10">($B$9 / D83) * (($B$6*$B$3 + $B$5*$B$2)*SIN(B83) - ($B$5*$B$3 - $B$6*$B$2)*COS(B83))</f>
        <v>-1911.2682186434993</v>
      </c>
      <c r="F83">
        <f t="shared" ref="F83:F146" si="11">( -$B$7*$B$10*$B$4*COS(B83) + E83 ) / $B$13</f>
        <v>-168.58567643908157</v>
      </c>
    </row>
    <row r="84" spans="1:6" x14ac:dyDescent="0.35">
      <c r="A84">
        <f t="shared" si="6"/>
        <v>0.67000000000000037</v>
      </c>
      <c r="B84">
        <f t="shared" si="7"/>
        <v>23.22905708923518</v>
      </c>
      <c r="C84">
        <f t="shared" si="8"/>
        <v>49.41799354753207</v>
      </c>
      <c r="D84">
        <f t="shared" si="9"/>
        <v>1.4138897351599782</v>
      </c>
      <c r="E84">
        <f t="shared" si="10"/>
        <v>-2879.2803704596731</v>
      </c>
      <c r="F84">
        <f t="shared" si="11"/>
        <v>-273.08674426811689</v>
      </c>
    </row>
    <row r="85" spans="1:6" x14ac:dyDescent="0.35">
      <c r="A85">
        <f t="shared" si="6"/>
        <v>0.68000000000000038</v>
      </c>
      <c r="B85">
        <f t="shared" si="7"/>
        <v>23.7232370247105</v>
      </c>
      <c r="C85">
        <f t="shared" si="8"/>
        <v>46.687126104850904</v>
      </c>
      <c r="D85">
        <f t="shared" si="9"/>
        <v>1.0907526762546758</v>
      </c>
      <c r="E85">
        <f t="shared" si="10"/>
        <v>-3621.7451795095776</v>
      </c>
      <c r="F85">
        <f t="shared" si="11"/>
        <v>-357.18349097606415</v>
      </c>
    </row>
    <row r="86" spans="1:6" x14ac:dyDescent="0.35">
      <c r="A86">
        <f t="shared" si="6"/>
        <v>0.69000000000000039</v>
      </c>
      <c r="B86">
        <f t="shared" si="7"/>
        <v>24.19010828575901</v>
      </c>
      <c r="C86">
        <f t="shared" si="8"/>
        <v>43.115291195090265</v>
      </c>
      <c r="D86">
        <f t="shared" si="9"/>
        <v>0.72941900317852482</v>
      </c>
      <c r="E86">
        <f t="shared" si="10"/>
        <v>-4064.5331124441609</v>
      </c>
      <c r="F86">
        <f t="shared" si="11"/>
        <v>-410.60064984596698</v>
      </c>
    </row>
    <row r="87" spans="1:6" x14ac:dyDescent="0.35">
      <c r="A87">
        <f t="shared" si="6"/>
        <v>0.7000000000000004</v>
      </c>
      <c r="B87">
        <f t="shared" si="7"/>
        <v>24.621261197709913</v>
      </c>
      <c r="C87">
        <f t="shared" si="8"/>
        <v>39.009284696630594</v>
      </c>
      <c r="D87">
        <f t="shared" si="9"/>
        <v>0.37737658530025564</v>
      </c>
      <c r="E87">
        <f t="shared" si="10"/>
        <v>-3931.3722149052319</v>
      </c>
      <c r="F87">
        <f t="shared" si="11"/>
        <v>-404.41320718392279</v>
      </c>
    </row>
    <row r="88" spans="1:6" x14ac:dyDescent="0.35">
      <c r="A88">
        <f t="shared" si="6"/>
        <v>0.71000000000000041</v>
      </c>
      <c r="B88">
        <f t="shared" si="7"/>
        <v>25.011354044676217</v>
      </c>
      <c r="C88">
        <f t="shared" si="8"/>
        <v>34.965152624791365</v>
      </c>
      <c r="D88">
        <f t="shared" si="9"/>
        <v>0.18167640127146878</v>
      </c>
      <c r="E88">
        <f t="shared" si="10"/>
        <v>545.57906336791382</v>
      </c>
      <c r="F88">
        <f t="shared" si="11"/>
        <v>29.476459180178033</v>
      </c>
    </row>
    <row r="89" spans="1:6" x14ac:dyDescent="0.35">
      <c r="A89">
        <f t="shared" si="6"/>
        <v>0.72000000000000042</v>
      </c>
      <c r="B89">
        <f t="shared" si="7"/>
        <v>25.361005570924132</v>
      </c>
      <c r="C89">
        <f t="shared" si="8"/>
        <v>35.259917216593145</v>
      </c>
      <c r="D89">
        <f t="shared" si="9"/>
        <v>0.38320949828569489</v>
      </c>
      <c r="E89">
        <f t="shared" si="10"/>
        <v>3946.1809232410055</v>
      </c>
      <c r="F89">
        <f t="shared" si="11"/>
        <v>361.68707867182206</v>
      </c>
    </row>
    <row r="90" spans="1:6" x14ac:dyDescent="0.35">
      <c r="A90">
        <f t="shared" si="6"/>
        <v>0.73000000000000043</v>
      </c>
      <c r="B90">
        <f t="shared" si="7"/>
        <v>25.713604743090062</v>
      </c>
      <c r="C90">
        <f t="shared" si="8"/>
        <v>38.876788003311368</v>
      </c>
      <c r="D90">
        <f t="shared" si="9"/>
        <v>0.67132473825977435</v>
      </c>
      <c r="E90">
        <f t="shared" si="10"/>
        <v>4098.5413358616479</v>
      </c>
      <c r="F90">
        <f t="shared" si="11"/>
        <v>379.85512256085462</v>
      </c>
    </row>
    <row r="91" spans="1:6" x14ac:dyDescent="0.35">
      <c r="A91">
        <f t="shared" si="6"/>
        <v>0.74000000000000044</v>
      </c>
      <c r="B91">
        <f t="shared" si="7"/>
        <v>26.102372623123177</v>
      </c>
      <c r="C91">
        <f t="shared" si="8"/>
        <v>42.675339228919917</v>
      </c>
      <c r="D91">
        <f t="shared" si="9"/>
        <v>0.97996567590098549</v>
      </c>
      <c r="E91">
        <f t="shared" si="10"/>
        <v>3796.6013392599716</v>
      </c>
      <c r="F91">
        <f t="shared" si="11"/>
        <v>356.86703107939746</v>
      </c>
    </row>
    <row r="92" spans="1:6" x14ac:dyDescent="0.35">
      <c r="A92">
        <f t="shared" si="6"/>
        <v>0.75000000000000044</v>
      </c>
      <c r="B92">
        <f t="shared" si="7"/>
        <v>26.529126015412377</v>
      </c>
      <c r="C92">
        <f t="shared" si="8"/>
        <v>46.244009539713893</v>
      </c>
      <c r="D92">
        <f t="shared" si="9"/>
        <v>1.281316493187789</v>
      </c>
      <c r="E92">
        <f t="shared" si="10"/>
        <v>3232.5466673534115</v>
      </c>
      <c r="F92">
        <f t="shared" si="11"/>
        <v>311.21841653864681</v>
      </c>
    </row>
    <row r="93" spans="1:6" x14ac:dyDescent="0.35">
      <c r="A93">
        <f t="shared" si="6"/>
        <v>0.76000000000000045</v>
      </c>
      <c r="B93">
        <f t="shared" si="7"/>
        <v>26.991566110809515</v>
      </c>
      <c r="C93">
        <f t="shared" si="8"/>
        <v>49.35619370510036</v>
      </c>
      <c r="D93">
        <f t="shared" si="9"/>
        <v>1.5446604661324166</v>
      </c>
      <c r="E93">
        <f t="shared" si="10"/>
        <v>2434.6231020604459</v>
      </c>
      <c r="F93">
        <f t="shared" si="11"/>
        <v>244.32092111454722</v>
      </c>
    </row>
    <row r="94" spans="1:6" x14ac:dyDescent="0.35">
      <c r="A94">
        <f t="shared" si="6"/>
        <v>0.77000000000000046</v>
      </c>
      <c r="B94">
        <f t="shared" si="7"/>
        <v>27.48512804786052</v>
      </c>
      <c r="C94">
        <f t="shared" si="8"/>
        <v>51.799402916245832</v>
      </c>
      <c r="D94">
        <f t="shared" si="9"/>
        <v>1.7365430368833326</v>
      </c>
      <c r="E94">
        <f t="shared" si="10"/>
        <v>1432.4494878927899</v>
      </c>
      <c r="F94">
        <f t="shared" si="11"/>
        <v>156.60544897324101</v>
      </c>
    </row>
    <row r="95" spans="1:6" x14ac:dyDescent="0.35">
      <c r="A95">
        <f t="shared" si="6"/>
        <v>0.78000000000000047</v>
      </c>
      <c r="B95">
        <f t="shared" si="7"/>
        <v>28.003122077022979</v>
      </c>
      <c r="C95">
        <f t="shared" si="8"/>
        <v>53.365457405978241</v>
      </c>
      <c r="D95">
        <f t="shared" si="9"/>
        <v>1.8260199375844572</v>
      </c>
      <c r="E95">
        <f t="shared" si="10"/>
        <v>284.94667509715583</v>
      </c>
      <c r="F95">
        <f t="shared" si="11"/>
        <v>50.851906593927872</v>
      </c>
    </row>
    <row r="96" spans="1:6" x14ac:dyDescent="0.35">
      <c r="A96">
        <f t="shared" si="6"/>
        <v>0.79000000000000048</v>
      </c>
      <c r="B96">
        <f t="shared" si="7"/>
        <v>28.536776651082761</v>
      </c>
      <c r="C96">
        <f t="shared" si="8"/>
        <v>53.873976471917523</v>
      </c>
      <c r="D96">
        <f t="shared" si="9"/>
        <v>1.7920879520126776</v>
      </c>
      <c r="E96">
        <f t="shared" si="10"/>
        <v>-916.89769276299091</v>
      </c>
      <c r="F96">
        <f t="shared" si="11"/>
        <v>-66.34588016960663</v>
      </c>
    </row>
    <row r="97" spans="1:6" x14ac:dyDescent="0.35">
      <c r="A97">
        <f t="shared" si="6"/>
        <v>0.80000000000000049</v>
      </c>
      <c r="B97">
        <f t="shared" si="7"/>
        <v>29.075516415801935</v>
      </c>
      <c r="C97">
        <f t="shared" si="8"/>
        <v>53.210517670221456</v>
      </c>
      <c r="D97">
        <f t="shared" si="9"/>
        <v>1.6305961867758265</v>
      </c>
      <c r="E97">
        <f t="shared" si="10"/>
        <v>-2061.8535733084027</v>
      </c>
      <c r="F97">
        <f t="shared" si="11"/>
        <v>-184.5067724145554</v>
      </c>
    </row>
    <row r="98" spans="1:6" x14ac:dyDescent="0.35">
      <c r="A98">
        <f t="shared" si="6"/>
        <v>0.8100000000000005</v>
      </c>
      <c r="B98">
        <f t="shared" si="7"/>
        <v>29.607621592504149</v>
      </c>
      <c r="C98">
        <f t="shared" si="8"/>
        <v>51.365449946075906</v>
      </c>
      <c r="D98">
        <f t="shared" si="9"/>
        <v>1.3574239653702946</v>
      </c>
      <c r="E98">
        <f t="shared" si="10"/>
        <v>-3039.6328957794776</v>
      </c>
      <c r="F98">
        <f t="shared" si="11"/>
        <v>-290.92000057575092</v>
      </c>
    </row>
    <row r="99" spans="1:6" x14ac:dyDescent="0.35">
      <c r="A99">
        <f t="shared" si="6"/>
        <v>0.82000000000000051</v>
      </c>
      <c r="B99">
        <f t="shared" si="7"/>
        <v>30.121276091964909</v>
      </c>
      <c r="C99">
        <f t="shared" si="8"/>
        <v>48.456249940318393</v>
      </c>
      <c r="D99">
        <f t="shared" si="9"/>
        <v>1.0059559947981609</v>
      </c>
      <c r="E99">
        <f t="shared" si="10"/>
        <v>-3758.6884799057834</v>
      </c>
      <c r="F99">
        <f t="shared" si="11"/>
        <v>-373.22495518258847</v>
      </c>
    </row>
    <row r="100" spans="1:6" x14ac:dyDescent="0.35">
      <c r="A100">
        <f t="shared" si="6"/>
        <v>0.83000000000000052</v>
      </c>
      <c r="B100">
        <f t="shared" si="7"/>
        <v>30.605838591368091</v>
      </c>
      <c r="C100">
        <f t="shared" si="8"/>
        <v>44.724000388492506</v>
      </c>
      <c r="D100">
        <f t="shared" si="9"/>
        <v>0.62087322648296295</v>
      </c>
      <c r="E100">
        <f t="shared" si="10"/>
        <v>-4117.0484870521841</v>
      </c>
      <c r="F100">
        <f t="shared" si="11"/>
        <v>-418.15925418215983</v>
      </c>
    </row>
    <row r="101" spans="1:6" x14ac:dyDescent="0.35">
      <c r="A101">
        <f t="shared" si="6"/>
        <v>0.84000000000000052</v>
      </c>
      <c r="B101">
        <f t="shared" si="7"/>
        <v>31.053078595253016</v>
      </c>
      <c r="C101">
        <f t="shared" si="8"/>
        <v>40.542407846670905</v>
      </c>
      <c r="D101">
        <f t="shared" si="9"/>
        <v>0.26757355684668738</v>
      </c>
      <c r="E101">
        <f t="shared" si="10"/>
        <v>-3342.3058805934784</v>
      </c>
      <c r="F101">
        <f t="shared" si="11"/>
        <v>-348.44757049236091</v>
      </c>
    </row>
    <row r="102" spans="1:6" x14ac:dyDescent="0.35">
      <c r="A102">
        <f t="shared" si="6"/>
        <v>0.85000000000000053</v>
      </c>
      <c r="B102">
        <f t="shared" si="7"/>
        <v>31.458502673719725</v>
      </c>
      <c r="C102">
        <f t="shared" si="8"/>
        <v>37.057932141747294</v>
      </c>
      <c r="D102">
        <f t="shared" si="9"/>
        <v>0.2483976614841503</v>
      </c>
      <c r="E102">
        <f t="shared" si="10"/>
        <v>3115.83325775292</v>
      </c>
      <c r="F102">
        <f t="shared" si="11"/>
        <v>280.0785863304846</v>
      </c>
    </row>
    <row r="103" spans="1:6" x14ac:dyDescent="0.35">
      <c r="A103">
        <f t="shared" si="6"/>
        <v>0.86000000000000054</v>
      </c>
      <c r="B103">
        <f t="shared" si="7"/>
        <v>31.829081995137198</v>
      </c>
      <c r="C103">
        <f t="shared" si="8"/>
        <v>39.85871800505214</v>
      </c>
      <c r="D103">
        <f t="shared" si="9"/>
        <v>0.53324705907121495</v>
      </c>
      <c r="E103">
        <f t="shared" si="10"/>
        <v>4117.5479035200742</v>
      </c>
      <c r="F103">
        <f t="shared" si="11"/>
        <v>379.79840149556094</v>
      </c>
    </row>
    <row r="104" spans="1:6" x14ac:dyDescent="0.35">
      <c r="A104">
        <f t="shared" si="6"/>
        <v>0.87000000000000055</v>
      </c>
      <c r="B104">
        <f t="shared" si="7"/>
        <v>32.227669175187721</v>
      </c>
      <c r="C104">
        <f t="shared" si="8"/>
        <v>43.656702020007749</v>
      </c>
      <c r="D104">
        <f t="shared" si="9"/>
        <v>0.85756123737364609</v>
      </c>
      <c r="E104">
        <f t="shared" si="10"/>
        <v>3950.085694139957</v>
      </c>
      <c r="F104">
        <f t="shared" si="11"/>
        <v>368.90692756779919</v>
      </c>
    </row>
    <row r="105" spans="1:6" x14ac:dyDescent="0.35">
      <c r="A105">
        <f t="shared" si="6"/>
        <v>0.88000000000000056</v>
      </c>
      <c r="B105">
        <f t="shared" si="7"/>
        <v>32.664236195387801</v>
      </c>
      <c r="C105">
        <f t="shared" si="8"/>
        <v>47.345771295685743</v>
      </c>
      <c r="D105">
        <f t="shared" si="9"/>
        <v>1.1823152679372708</v>
      </c>
      <c r="E105">
        <f t="shared" si="10"/>
        <v>3449.8426896565552</v>
      </c>
      <c r="F105">
        <f t="shared" si="11"/>
        <v>328.98698377254664</v>
      </c>
    </row>
    <row r="106" spans="1:6" x14ac:dyDescent="0.35">
      <c r="A106">
        <f t="shared" si="6"/>
        <v>0.89000000000000057</v>
      </c>
      <c r="B106">
        <f t="shared" si="7"/>
        <v>33.137693908344659</v>
      </c>
      <c r="C106">
        <f t="shared" si="8"/>
        <v>50.635641133411212</v>
      </c>
      <c r="D106">
        <f t="shared" si="9"/>
        <v>1.4744229970522138</v>
      </c>
      <c r="E106">
        <f t="shared" si="10"/>
        <v>2687.9163156708996</v>
      </c>
      <c r="F106">
        <f t="shared" si="11"/>
        <v>265.83429025699076</v>
      </c>
    </row>
    <row r="107" spans="1:6" x14ac:dyDescent="0.35">
      <c r="A107">
        <f t="shared" si="6"/>
        <v>0.90000000000000058</v>
      </c>
      <c r="B107">
        <f t="shared" si="7"/>
        <v>33.644050319678769</v>
      </c>
      <c r="C107">
        <f t="shared" si="8"/>
        <v>53.293984035981119</v>
      </c>
      <c r="D107">
        <f t="shared" si="9"/>
        <v>1.6976561062897593</v>
      </c>
      <c r="E107">
        <f t="shared" si="10"/>
        <v>1695.9104497582091</v>
      </c>
      <c r="F107">
        <f t="shared" si="11"/>
        <v>180.07405150134656</v>
      </c>
    </row>
    <row r="108" spans="1:6" x14ac:dyDescent="0.35">
      <c r="A108">
        <f t="shared" si="6"/>
        <v>0.91000000000000059</v>
      </c>
      <c r="B108">
        <f t="shared" si="7"/>
        <v>34.176990160038578</v>
      </c>
      <c r="C108">
        <f t="shared" si="8"/>
        <v>55.094724550994584</v>
      </c>
      <c r="D108">
        <f t="shared" si="9"/>
        <v>1.8170929490760581</v>
      </c>
      <c r="E108">
        <f t="shared" si="10"/>
        <v>531.45714883072969</v>
      </c>
      <c r="F108">
        <f t="shared" si="11"/>
        <v>74.064779898181939</v>
      </c>
    </row>
    <row r="109" spans="1:6" x14ac:dyDescent="0.35">
      <c r="A109">
        <f t="shared" si="6"/>
        <v>0.9200000000000006</v>
      </c>
      <c r="B109">
        <f t="shared" si="7"/>
        <v>34.727937405548523</v>
      </c>
      <c r="C109">
        <f t="shared" si="8"/>
        <v>55.835372349976403</v>
      </c>
      <c r="D109">
        <f t="shared" si="9"/>
        <v>1.8070805608371536</v>
      </c>
      <c r="E109">
        <f t="shared" si="10"/>
        <v>-712.00250955493993</v>
      </c>
      <c r="F109">
        <f t="shared" si="11"/>
        <v>-45.883436021179321</v>
      </c>
    </row>
    <row r="110" spans="1:6" x14ac:dyDescent="0.35">
      <c r="A110">
        <f t="shared" si="6"/>
        <v>0.9300000000000006</v>
      </c>
      <c r="B110">
        <f t="shared" si="7"/>
        <v>35.286291129048287</v>
      </c>
      <c r="C110">
        <f t="shared" si="8"/>
        <v>55.376537989764607</v>
      </c>
      <c r="D110">
        <f t="shared" si="9"/>
        <v>1.6593972468973193</v>
      </c>
      <c r="E110">
        <f t="shared" si="10"/>
        <v>-1915.1575295123102</v>
      </c>
      <c r="F110">
        <f t="shared" si="11"/>
        <v>-168.99539474966934</v>
      </c>
    </row>
    <row r="111" spans="1:6" x14ac:dyDescent="0.35">
      <c r="A111">
        <f t="shared" si="6"/>
        <v>0.94000000000000061</v>
      </c>
      <c r="B111">
        <f t="shared" si="7"/>
        <v>35.840056508945935</v>
      </c>
      <c r="C111">
        <f t="shared" si="8"/>
        <v>53.68658404226791</v>
      </c>
      <c r="D111">
        <f t="shared" si="9"/>
        <v>1.3878498736600993</v>
      </c>
      <c r="E111">
        <f t="shared" si="10"/>
        <v>-2955.2225045355017</v>
      </c>
      <c r="F111">
        <f t="shared" si="11"/>
        <v>-281.51238798934537</v>
      </c>
    </row>
    <row r="112" spans="1:6" x14ac:dyDescent="0.35">
      <c r="A112">
        <f t="shared" si="6"/>
        <v>0.95000000000000062</v>
      </c>
      <c r="B112">
        <f t="shared" si="7"/>
        <v>36.376922349368613</v>
      </c>
      <c r="C112">
        <f t="shared" si="8"/>
        <v>50.871460162374454</v>
      </c>
      <c r="D112">
        <f t="shared" si="9"/>
        <v>1.0265720565939558</v>
      </c>
      <c r="E112">
        <f t="shared" si="10"/>
        <v>-3727.276520553477</v>
      </c>
      <c r="F112">
        <f t="shared" si="11"/>
        <v>-369.52402248017631</v>
      </c>
    </row>
    <row r="113" spans="1:6" x14ac:dyDescent="0.35">
      <c r="A113">
        <f t="shared" si="6"/>
        <v>0.96000000000000063</v>
      </c>
      <c r="B113">
        <f t="shared" si="7"/>
        <v>36.885636950992357</v>
      </c>
      <c r="C113">
        <f t="shared" si="8"/>
        <v>47.176219937572689</v>
      </c>
      <c r="D113">
        <f t="shared" si="9"/>
        <v>0.62366182985574281</v>
      </c>
      <c r="E113">
        <f t="shared" si="10"/>
        <v>-4116.3274618039031</v>
      </c>
      <c r="F113">
        <f t="shared" si="11"/>
        <v>-418.03011539048259</v>
      </c>
    </row>
    <row r="114" spans="1:6" x14ac:dyDescent="0.35">
      <c r="A114">
        <f t="shared" si="6"/>
        <v>0.97000000000000064</v>
      </c>
      <c r="B114">
        <f t="shared" si="7"/>
        <v>37.357399150368082</v>
      </c>
      <c r="C114">
        <f t="shared" si="8"/>
        <v>42.995918783667861</v>
      </c>
      <c r="D114">
        <f t="shared" si="9"/>
        <v>0.2537656779156684</v>
      </c>
      <c r="E114">
        <f t="shared" si="10"/>
        <v>-3186.4271937044914</v>
      </c>
      <c r="F114">
        <f t="shared" si="11"/>
        <v>-333.41437650472938</v>
      </c>
    </row>
    <row r="115" spans="1:6" x14ac:dyDescent="0.35">
      <c r="A115">
        <f t="shared" si="6"/>
        <v>0.98000000000000065</v>
      </c>
      <c r="B115">
        <f t="shared" si="7"/>
        <v>37.787358338204761</v>
      </c>
      <c r="C115">
        <f t="shared" si="8"/>
        <v>39.661775018620567</v>
      </c>
      <c r="D115">
        <f t="shared" si="9"/>
        <v>0.27844791612805858</v>
      </c>
      <c r="E115">
        <f t="shared" si="10"/>
        <v>3444.1144758771838</v>
      </c>
      <c r="F115">
        <f t="shared" si="11"/>
        <v>312.17744308661236</v>
      </c>
    </row>
    <row r="116" spans="1:6" x14ac:dyDescent="0.35">
      <c r="A116">
        <f t="shared" si="6"/>
        <v>0.99000000000000066</v>
      </c>
      <c r="B116">
        <f t="shared" si="7"/>
        <v>38.18397608839097</v>
      </c>
      <c r="C116">
        <f t="shared" si="8"/>
        <v>42.783549449486692</v>
      </c>
      <c r="D116">
        <f t="shared" si="9"/>
        <v>0.5923600955610675</v>
      </c>
      <c r="E116">
        <f t="shared" si="10"/>
        <v>4122.1628668483818</v>
      </c>
      <c r="F116">
        <f t="shared" si="11"/>
        <v>380.99325031353828</v>
      </c>
    </row>
    <row r="117" spans="1:6" x14ac:dyDescent="0.35">
      <c r="A117">
        <f t="shared" si="6"/>
        <v>1.0000000000000007</v>
      </c>
      <c r="B117">
        <f t="shared" si="7"/>
        <v>38.611811582885835</v>
      </c>
      <c r="C117">
        <f t="shared" si="8"/>
        <v>46.593481952622078</v>
      </c>
      <c r="D117">
        <f t="shared" si="9"/>
        <v>0.93639419895506437</v>
      </c>
      <c r="E117">
        <f t="shared" si="10"/>
        <v>3855.976766194136</v>
      </c>
      <c r="F117">
        <f t="shared" si="11"/>
        <v>361.55891788287897</v>
      </c>
    </row>
    <row r="118" spans="1:6" x14ac:dyDescent="0.35">
      <c r="A118">
        <f t="shared" si="6"/>
        <v>1.0100000000000007</v>
      </c>
      <c r="B118">
        <f t="shared" si="7"/>
        <v>39.077746402412053</v>
      </c>
      <c r="C118">
        <f t="shared" si="8"/>
        <v>50.20907113145087</v>
      </c>
      <c r="D118">
        <f t="shared" si="9"/>
        <v>1.2697925506309837</v>
      </c>
      <c r="E118">
        <f t="shared" si="10"/>
        <v>3259.6843024775103</v>
      </c>
      <c r="F118">
        <f t="shared" si="11"/>
        <v>313.44840336820886</v>
      </c>
    </row>
    <row r="119" spans="1:6" x14ac:dyDescent="0.35">
      <c r="A119">
        <f t="shared" si="6"/>
        <v>1.0200000000000007</v>
      </c>
      <c r="B119">
        <f t="shared" si="7"/>
        <v>39.579837113726562</v>
      </c>
      <c r="C119">
        <f t="shared" si="8"/>
        <v>53.343555165132955</v>
      </c>
      <c r="D119">
        <f t="shared" si="9"/>
        <v>1.555233244114451</v>
      </c>
      <c r="E119">
        <f t="shared" si="10"/>
        <v>2392.9927768964212</v>
      </c>
      <c r="F119">
        <f t="shared" si="11"/>
        <v>240.76017672541803</v>
      </c>
    </row>
    <row r="120" spans="1:6" x14ac:dyDescent="0.35">
      <c r="A120">
        <f t="shared" si="6"/>
        <v>1.0300000000000007</v>
      </c>
      <c r="B120">
        <f t="shared" si="7"/>
        <v>40.113272665377892</v>
      </c>
      <c r="C120">
        <f t="shared" si="8"/>
        <v>55.751156932387133</v>
      </c>
      <c r="D120">
        <f t="shared" si="9"/>
        <v>1.7534194007698836</v>
      </c>
      <c r="E120">
        <f t="shared" si="10"/>
        <v>1299.2781081295607</v>
      </c>
      <c r="F120">
        <f t="shared" si="11"/>
        <v>144.62941956970661</v>
      </c>
    </row>
    <row r="121" spans="1:6" x14ac:dyDescent="0.35">
      <c r="A121">
        <f t="shared" si="6"/>
        <v>1.0400000000000007</v>
      </c>
      <c r="B121">
        <f t="shared" si="7"/>
        <v>40.670784234701763</v>
      </c>
      <c r="C121">
        <f t="shared" si="8"/>
        <v>57.197451128084197</v>
      </c>
      <c r="D121">
        <f t="shared" si="9"/>
        <v>1.8294715190506585</v>
      </c>
      <c r="E121">
        <f t="shared" si="10"/>
        <v>55.735474564047855</v>
      </c>
      <c r="F121">
        <f t="shared" si="11"/>
        <v>29.019848426185977</v>
      </c>
    </row>
    <row r="122" spans="1:6" x14ac:dyDescent="0.35">
      <c r="A122">
        <f t="shared" si="6"/>
        <v>1.0500000000000007</v>
      </c>
      <c r="B122">
        <f t="shared" si="7"/>
        <v>41.242758745982606</v>
      </c>
      <c r="C122">
        <f t="shared" si="8"/>
        <v>57.487649612346054</v>
      </c>
      <c r="D122">
        <f t="shared" si="9"/>
        <v>1.762189149791479</v>
      </c>
      <c r="E122">
        <f t="shared" si="10"/>
        <v>-1223.7760329458874</v>
      </c>
      <c r="F122">
        <f t="shared" si="11"/>
        <v>-97.373901601917737</v>
      </c>
    </row>
    <row r="123" spans="1:6" x14ac:dyDescent="0.35">
      <c r="A123">
        <f t="shared" si="6"/>
        <v>1.0600000000000007</v>
      </c>
      <c r="B123">
        <f t="shared" si="7"/>
        <v>41.817635242106064</v>
      </c>
      <c r="C123">
        <f t="shared" si="8"/>
        <v>56.513910596326873</v>
      </c>
      <c r="D123">
        <f t="shared" si="9"/>
        <v>1.5520260706596118</v>
      </c>
      <c r="E123">
        <f t="shared" si="10"/>
        <v>-2405.7295673900944</v>
      </c>
      <c r="F123">
        <f t="shared" si="11"/>
        <v>-221.31661346902214</v>
      </c>
    </row>
    <row r="124" spans="1:6" x14ac:dyDescent="0.35">
      <c r="A124">
        <f t="shared" si="6"/>
        <v>1.0700000000000007</v>
      </c>
      <c r="B124">
        <f t="shared" si="7"/>
        <v>42.382774348069333</v>
      </c>
      <c r="C124">
        <f t="shared" si="8"/>
        <v>54.300744461636654</v>
      </c>
      <c r="D124">
        <f t="shared" si="9"/>
        <v>1.2236028599494984</v>
      </c>
      <c r="E124">
        <f t="shared" si="10"/>
        <v>-3363.4621857601173</v>
      </c>
      <c r="F124">
        <f t="shared" si="11"/>
        <v>-327.45541332562777</v>
      </c>
    </row>
    <row r="125" spans="1:6" x14ac:dyDescent="0.35">
      <c r="A125">
        <f t="shared" si="6"/>
        <v>1.0800000000000007</v>
      </c>
      <c r="B125">
        <f t="shared" si="7"/>
        <v>42.925781792685697</v>
      </c>
      <c r="C125">
        <f t="shared" si="8"/>
        <v>51.026190328380373</v>
      </c>
      <c r="D125">
        <f t="shared" si="9"/>
        <v>0.82116631676568486</v>
      </c>
      <c r="E125">
        <f t="shared" si="10"/>
        <v>-3987.6280906485708</v>
      </c>
      <c r="F125">
        <f t="shared" si="11"/>
        <v>-400.806708462806</v>
      </c>
    </row>
    <row r="126" spans="1:6" x14ac:dyDescent="0.35">
      <c r="A126">
        <f t="shared" si="6"/>
        <v>1.0900000000000007</v>
      </c>
      <c r="B126">
        <f t="shared" si="7"/>
        <v>43.436043695969502</v>
      </c>
      <c r="C126">
        <f t="shared" si="8"/>
        <v>47.018123243752314</v>
      </c>
      <c r="D126">
        <f t="shared" si="9"/>
        <v>0.40494511659214133</v>
      </c>
      <c r="E126">
        <f t="shared" si="10"/>
        <v>-3993.6796089027212</v>
      </c>
      <c r="F126">
        <f t="shared" si="11"/>
        <v>-410.07219956359512</v>
      </c>
    </row>
    <row r="127" spans="1:6" x14ac:dyDescent="0.35">
      <c r="A127">
        <f t="shared" si="6"/>
        <v>1.1000000000000008</v>
      </c>
      <c r="B127">
        <f t="shared" si="7"/>
        <v>43.906224928407028</v>
      </c>
      <c r="C127">
        <f t="shared" si="8"/>
        <v>42.917401248116363</v>
      </c>
      <c r="D127">
        <f t="shared" si="9"/>
        <v>0.19105839115481449</v>
      </c>
      <c r="E127">
        <f t="shared" si="10"/>
        <v>1500.4280458370422</v>
      </c>
      <c r="F127">
        <f t="shared" si="11"/>
        <v>122.52559341153685</v>
      </c>
    </row>
    <row r="128" spans="1:6" x14ac:dyDescent="0.35">
      <c r="A128">
        <f t="shared" si="6"/>
        <v>1.1100000000000008</v>
      </c>
      <c r="B128">
        <f t="shared" si="7"/>
        <v>44.33539894088819</v>
      </c>
      <c r="C128">
        <f t="shared" si="8"/>
        <v>44.14265718223173</v>
      </c>
      <c r="D128">
        <f t="shared" si="9"/>
        <v>0.48391614182815879</v>
      </c>
      <c r="E128">
        <f t="shared" si="10"/>
        <v>4093.2780287201358</v>
      </c>
      <c r="F128">
        <f t="shared" si="11"/>
        <v>376.89354399519397</v>
      </c>
    </row>
    <row r="129" spans="1:6" x14ac:dyDescent="0.35">
      <c r="A129">
        <f t="shared" si="6"/>
        <v>1.1200000000000008</v>
      </c>
      <c r="B129">
        <f t="shared" si="7"/>
        <v>44.776825512710509</v>
      </c>
      <c r="C129">
        <f t="shared" si="8"/>
        <v>47.911592622183669</v>
      </c>
      <c r="D129">
        <f t="shared" si="9"/>
        <v>0.84393656576525877</v>
      </c>
      <c r="E129">
        <f t="shared" si="10"/>
        <v>3964.5860410395526</v>
      </c>
      <c r="F129">
        <f t="shared" si="11"/>
        <v>370.02523407863868</v>
      </c>
    </row>
    <row r="130" spans="1:6" x14ac:dyDescent="0.35">
      <c r="A130">
        <f t="shared" si="6"/>
        <v>1.1300000000000008</v>
      </c>
      <c r="B130">
        <f t="shared" si="7"/>
        <v>45.255941438932346</v>
      </c>
      <c r="C130">
        <f t="shared" si="8"/>
        <v>51.611844962970054</v>
      </c>
      <c r="D130">
        <f t="shared" si="9"/>
        <v>1.1997052507172987</v>
      </c>
      <c r="E130">
        <f t="shared" si="10"/>
        <v>3414.1663944313927</v>
      </c>
      <c r="F130">
        <f t="shared" si="11"/>
        <v>326.08367059766624</v>
      </c>
    </row>
    <row r="131" spans="1:6" x14ac:dyDescent="0.35">
      <c r="A131">
        <f t="shared" si="6"/>
        <v>1.1400000000000008</v>
      </c>
      <c r="B131">
        <f t="shared" si="7"/>
        <v>45.772059888562048</v>
      </c>
      <c r="C131">
        <f t="shared" si="8"/>
        <v>54.872681668946719</v>
      </c>
      <c r="D131">
        <f t="shared" si="9"/>
        <v>1.5101362715863402</v>
      </c>
      <c r="E131">
        <f t="shared" si="10"/>
        <v>2563.8545169566305</v>
      </c>
      <c r="F131">
        <f t="shared" si="11"/>
        <v>255.32955371638943</v>
      </c>
    </row>
    <row r="132" spans="1:6" x14ac:dyDescent="0.35">
      <c r="A132">
        <f t="shared" si="6"/>
        <v>1.1500000000000008</v>
      </c>
      <c r="B132">
        <f t="shared" si="7"/>
        <v>46.320786705251514</v>
      </c>
      <c r="C132">
        <f t="shared" si="8"/>
        <v>57.425977206110616</v>
      </c>
      <c r="D132">
        <f t="shared" si="9"/>
        <v>1.7325202233314347</v>
      </c>
      <c r="E132">
        <f t="shared" si="10"/>
        <v>1462.2186558637168</v>
      </c>
      <c r="F132">
        <f t="shared" si="11"/>
        <v>159.27211917127218</v>
      </c>
    </row>
    <row r="133" spans="1:6" x14ac:dyDescent="0.35">
      <c r="A133">
        <f t="shared" si="6"/>
        <v>1.1600000000000008</v>
      </c>
      <c r="B133">
        <f t="shared" si="7"/>
        <v>46.895046477312619</v>
      </c>
      <c r="C133">
        <f t="shared" si="8"/>
        <v>59.018698397823336</v>
      </c>
      <c r="D133">
        <f t="shared" si="9"/>
        <v>1.8280285987814602</v>
      </c>
      <c r="E133">
        <f t="shared" si="10"/>
        <v>189.12837646044588</v>
      </c>
      <c r="F133">
        <f t="shared" si="11"/>
        <v>41.754592333305396</v>
      </c>
    </row>
    <row r="134" spans="1:6" x14ac:dyDescent="0.35">
      <c r="A134">
        <f t="shared" si="6"/>
        <v>1.1700000000000008</v>
      </c>
      <c r="B134">
        <f t="shared" si="7"/>
        <v>47.485233461290854</v>
      </c>
      <c r="C134">
        <f t="shared" si="8"/>
        <v>59.436244321156387</v>
      </c>
      <c r="D134">
        <f t="shared" si="9"/>
        <v>1.7717916325419243</v>
      </c>
      <c r="E134">
        <f t="shared" si="10"/>
        <v>-1134.8583272449109</v>
      </c>
      <c r="F134">
        <f t="shared" si="11"/>
        <v>-88.336187710117727</v>
      </c>
    </row>
    <row r="135" spans="1:6" x14ac:dyDescent="0.35">
      <c r="A135">
        <f t="shared" si="6"/>
        <v>1.1800000000000008</v>
      </c>
      <c r="B135">
        <f t="shared" si="7"/>
        <v>48.079595904502419</v>
      </c>
      <c r="C135">
        <f t="shared" si="8"/>
        <v>58.552882444055207</v>
      </c>
      <c r="D135">
        <f t="shared" si="9"/>
        <v>1.5621522648359569</v>
      </c>
      <c r="E135">
        <f t="shared" si="10"/>
        <v>-2365.1836621494331</v>
      </c>
      <c r="F135">
        <f t="shared" si="11"/>
        <v>-216.94307430284874</v>
      </c>
    </row>
    <row r="136" spans="1:6" x14ac:dyDescent="0.35">
      <c r="A136">
        <f t="shared" si="6"/>
        <v>1.1900000000000008</v>
      </c>
      <c r="B136">
        <f t="shared" si="7"/>
        <v>48.66512472894297</v>
      </c>
      <c r="C136">
        <f t="shared" si="8"/>
        <v>56.383451701026722</v>
      </c>
      <c r="D136">
        <f t="shared" si="9"/>
        <v>1.2241644071002076</v>
      </c>
      <c r="E136">
        <f t="shared" si="10"/>
        <v>-3362.246866228636</v>
      </c>
      <c r="F136">
        <f t="shared" si="11"/>
        <v>-327.31687691124728</v>
      </c>
    </row>
    <row r="137" spans="1:6" x14ac:dyDescent="0.35">
      <c r="A137">
        <f t="shared" si="6"/>
        <v>1.2000000000000008</v>
      </c>
      <c r="B137">
        <f t="shared" si="7"/>
        <v>49.228959245953234</v>
      </c>
      <c r="C137">
        <f t="shared" si="8"/>
        <v>53.110282931914249</v>
      </c>
      <c r="D137">
        <f t="shared" si="9"/>
        <v>0.80519132825974882</v>
      </c>
      <c r="E137">
        <f t="shared" si="10"/>
        <v>-4002.887790647887</v>
      </c>
      <c r="F137">
        <f t="shared" si="11"/>
        <v>-402.70955256354182</v>
      </c>
    </row>
    <row r="138" spans="1:6" x14ac:dyDescent="0.35">
      <c r="A138">
        <f t="shared" si="6"/>
        <v>1.2100000000000009</v>
      </c>
      <c r="B138">
        <f t="shared" si="7"/>
        <v>49.76006207527238</v>
      </c>
      <c r="C138">
        <f t="shared" si="8"/>
        <v>49.083187406278832</v>
      </c>
      <c r="D138">
        <f t="shared" si="9"/>
        <v>0.37261973280017852</v>
      </c>
      <c r="E138">
        <f t="shared" si="10"/>
        <v>-3918.5690272533707</v>
      </c>
      <c r="F138">
        <f t="shared" si="11"/>
        <v>-403.2346993377393</v>
      </c>
    </row>
    <row r="139" spans="1:6" x14ac:dyDescent="0.35">
      <c r="A139">
        <f t="shared" si="6"/>
        <v>1.2200000000000009</v>
      </c>
      <c r="B139">
        <f t="shared" si="7"/>
        <v>50.250893949335165</v>
      </c>
      <c r="C139">
        <f t="shared" si="8"/>
        <v>45.050840412901437</v>
      </c>
      <c r="D139">
        <f t="shared" si="9"/>
        <v>0.21604026313911162</v>
      </c>
      <c r="E139">
        <f t="shared" si="10"/>
        <v>2500.1144892312964</v>
      </c>
      <c r="F139">
        <f t="shared" si="11"/>
        <v>219.98932550060258</v>
      </c>
    </row>
    <row r="140" spans="1:6" x14ac:dyDescent="0.35">
      <c r="A140">
        <f t="shared" si="6"/>
        <v>1.2300000000000009</v>
      </c>
      <c r="B140">
        <f t="shared" si="7"/>
        <v>50.701402353464182</v>
      </c>
      <c r="C140">
        <f t="shared" si="8"/>
        <v>47.250733667907461</v>
      </c>
      <c r="D140">
        <f t="shared" si="9"/>
        <v>0.55200378599132505</v>
      </c>
      <c r="E140">
        <f t="shared" si="10"/>
        <v>4121.514203303369</v>
      </c>
      <c r="F140">
        <f t="shared" si="11"/>
        <v>380.4097064977401</v>
      </c>
    </row>
    <row r="141" spans="1:6" x14ac:dyDescent="0.35">
      <c r="A141">
        <f t="shared" si="6"/>
        <v>1.2400000000000009</v>
      </c>
      <c r="B141">
        <f t="shared" si="7"/>
        <v>51.173909690143255</v>
      </c>
      <c r="C141">
        <f t="shared" si="8"/>
        <v>51.054830732884859</v>
      </c>
      <c r="D141">
        <f t="shared" si="9"/>
        <v>0.93309743089344477</v>
      </c>
      <c r="E141">
        <f t="shared" si="10"/>
        <v>3860.2568007110308</v>
      </c>
      <c r="F141">
        <f t="shared" si="11"/>
        <v>361.89573791469832</v>
      </c>
    </row>
    <row r="142" spans="1:6" x14ac:dyDescent="0.35">
      <c r="A142">
        <f t="shared" si="6"/>
        <v>1.2500000000000009</v>
      </c>
      <c r="B142">
        <f t="shared" si="7"/>
        <v>51.684457997472101</v>
      </c>
      <c r="C142">
        <f t="shared" si="8"/>
        <v>54.673788112031843</v>
      </c>
      <c r="D142">
        <f t="shared" si="9"/>
        <v>1.2958428429007258</v>
      </c>
      <c r="E142">
        <f t="shared" si="10"/>
        <v>3197.5961194073998</v>
      </c>
      <c r="F142">
        <f t="shared" si="11"/>
        <v>308.34194582568989</v>
      </c>
    </row>
    <row r="143" spans="1:6" x14ac:dyDescent="0.35">
      <c r="A143">
        <f t="shared" si="6"/>
        <v>1.2600000000000009</v>
      </c>
      <c r="B143">
        <f t="shared" si="7"/>
        <v>52.231195878592423</v>
      </c>
      <c r="C143">
        <f t="shared" si="8"/>
        <v>57.757207570288742</v>
      </c>
      <c r="D143">
        <f t="shared" si="9"/>
        <v>1.5945177212468402</v>
      </c>
      <c r="E143">
        <f t="shared" si="10"/>
        <v>2228.6222695206993</v>
      </c>
      <c r="F143">
        <f t="shared" si="11"/>
        <v>226.63197176334404</v>
      </c>
    </row>
    <row r="144" spans="1:6" x14ac:dyDescent="0.35">
      <c r="A144">
        <f t="shared" si="6"/>
        <v>1.2700000000000009</v>
      </c>
      <c r="B144">
        <f t="shared" si="7"/>
        <v>52.808767954295313</v>
      </c>
      <c r="C144">
        <f t="shared" si="8"/>
        <v>60.023527287922185</v>
      </c>
      <c r="D144">
        <f t="shared" si="9"/>
        <v>1.7833380903581175</v>
      </c>
      <c r="E144">
        <f t="shared" si="10"/>
        <v>1016.9290359210406</v>
      </c>
      <c r="F144">
        <f t="shared" si="11"/>
        <v>118.98309539950883</v>
      </c>
    </row>
    <row r="145" spans="1:6" x14ac:dyDescent="0.35">
      <c r="A145">
        <f t="shared" si="6"/>
        <v>1.2800000000000009</v>
      </c>
      <c r="B145">
        <f t="shared" si="7"/>
        <v>53.409003227174537</v>
      </c>
      <c r="C145">
        <f t="shared" si="8"/>
        <v>61.213358241917277</v>
      </c>
      <c r="D145">
        <f t="shared" si="9"/>
        <v>1.8247011272956433</v>
      </c>
      <c r="E145">
        <f t="shared" si="10"/>
        <v>-333.15272672660029</v>
      </c>
      <c r="F145">
        <f t="shared" si="11"/>
        <v>-8.575920253762769</v>
      </c>
    </row>
    <row r="146" spans="1:6" x14ac:dyDescent="0.35">
      <c r="A146">
        <f t="shared" si="6"/>
        <v>1.2900000000000009</v>
      </c>
      <c r="B146">
        <f t="shared" si="7"/>
        <v>54.021136809593713</v>
      </c>
      <c r="C146">
        <f t="shared" si="8"/>
        <v>61.127599039379646</v>
      </c>
      <c r="D146">
        <f t="shared" si="9"/>
        <v>1.7006203697148241</v>
      </c>
      <c r="E146">
        <f t="shared" si="10"/>
        <v>-1677.4910282944252</v>
      </c>
      <c r="F146">
        <f t="shared" si="11"/>
        <v>-144.10191803446628</v>
      </c>
    </row>
    <row r="147" spans="1:6" x14ac:dyDescent="0.35">
      <c r="A147">
        <f t="shared" ref="A147:A210" si="12">A146 + $B$12</f>
        <v>1.3000000000000009</v>
      </c>
      <c r="B147">
        <f t="shared" ref="B147:B210" si="13">B146 + $B$12 * C146</f>
        <v>54.632412799987513</v>
      </c>
      <c r="C147">
        <f t="shared" ref="C147:C210" si="14">C146 + $B$12 * F146</f>
        <v>59.686579859034985</v>
      </c>
      <c r="D147">
        <f t="shared" ref="D147:D210" si="15">SQRT( ($B$2*COS(B147) + $B$3*SIN(B147) - $B$5)^2 + ($B$2*SIN(B147) - $B$3*COS(B147) + $B$6)^2 )</f>
        <v>1.4211015019373503</v>
      </c>
      <c r="E147">
        <f t="shared" ref="E147:E210" si="16">($B$9 / D147) * (($B$6*$B$3 + $B$5*$B$2)*SIN(B147) - ($B$5*$B$3 - $B$6*$B$2)*COS(B147))</f>
        <v>-2857.6072482537206</v>
      </c>
      <c r="F147">
        <f t="shared" ref="F147:F210" si="17">( -$B$7*$B$10*$B$4*COS(B147) + E147 ) / $B$13</f>
        <v>-270.68865061901641</v>
      </c>
    </row>
    <row r="148" spans="1:6" x14ac:dyDescent="0.35">
      <c r="A148">
        <f t="shared" si="12"/>
        <v>1.3100000000000009</v>
      </c>
      <c r="B148">
        <f t="shared" si="13"/>
        <v>55.229278598577864</v>
      </c>
      <c r="C148">
        <f t="shared" si="14"/>
        <v>56.979693352844819</v>
      </c>
      <c r="D148">
        <f t="shared" si="15"/>
        <v>1.024483630756464</v>
      </c>
      <c r="E148">
        <f t="shared" si="16"/>
        <v>-3730.5128572169278</v>
      </c>
      <c r="F148">
        <f t="shared" si="17"/>
        <v>-369.90468250750223</v>
      </c>
    </row>
    <row r="149" spans="1:6" x14ac:dyDescent="0.35">
      <c r="A149">
        <f t="shared" si="12"/>
        <v>1.320000000000001</v>
      </c>
      <c r="B149">
        <f t="shared" si="13"/>
        <v>55.799075532106315</v>
      </c>
      <c r="C149">
        <f t="shared" si="14"/>
        <v>53.280646527769797</v>
      </c>
      <c r="D149">
        <f t="shared" si="15"/>
        <v>0.57101036238555714</v>
      </c>
      <c r="E149">
        <f t="shared" si="16"/>
        <v>-4123.0694088003665</v>
      </c>
      <c r="F149">
        <f t="shared" si="17"/>
        <v>-419.76431768190872</v>
      </c>
    </row>
    <row r="150" spans="1:6" x14ac:dyDescent="0.35">
      <c r="A150">
        <f t="shared" si="12"/>
        <v>1.330000000000001</v>
      </c>
      <c r="B150">
        <f t="shared" si="13"/>
        <v>56.331881997384009</v>
      </c>
      <c r="C150">
        <f t="shared" si="14"/>
        <v>49.083003350950712</v>
      </c>
      <c r="D150">
        <f t="shared" si="15"/>
        <v>0.19173959453217998</v>
      </c>
      <c r="E150">
        <f t="shared" si="16"/>
        <v>-1543.342284180583</v>
      </c>
      <c r="F150">
        <f t="shared" si="17"/>
        <v>-173.93677320502294</v>
      </c>
    </row>
    <row r="151" spans="1:6" x14ac:dyDescent="0.35">
      <c r="A151">
        <f t="shared" si="12"/>
        <v>1.340000000000001</v>
      </c>
      <c r="B151">
        <f t="shared" si="13"/>
        <v>56.82271203089352</v>
      </c>
      <c r="C151">
        <f t="shared" si="14"/>
        <v>47.343635618900485</v>
      </c>
      <c r="D151">
        <f t="shared" si="15"/>
        <v>0.41970019187568602</v>
      </c>
      <c r="E151">
        <f t="shared" si="16"/>
        <v>4019.9677435135677</v>
      </c>
      <c r="F151">
        <f t="shared" si="17"/>
        <v>369.15799246001285</v>
      </c>
    </row>
    <row r="152" spans="1:6" x14ac:dyDescent="0.35">
      <c r="A152">
        <f t="shared" si="12"/>
        <v>1.350000000000001</v>
      </c>
      <c r="B152">
        <f t="shared" si="13"/>
        <v>57.296148387082525</v>
      </c>
      <c r="C152">
        <f t="shared" si="14"/>
        <v>51.035215543500613</v>
      </c>
      <c r="D152">
        <f t="shared" si="15"/>
        <v>0.80645399933012518</v>
      </c>
      <c r="E152">
        <f t="shared" si="16"/>
        <v>4001.7092425878955</v>
      </c>
      <c r="F152">
        <f t="shared" si="17"/>
        <v>372.86262910200435</v>
      </c>
    </row>
    <row r="153" spans="1:6" x14ac:dyDescent="0.35">
      <c r="A153">
        <f t="shared" si="12"/>
        <v>1.360000000000001</v>
      </c>
      <c r="B153">
        <f t="shared" si="13"/>
        <v>57.806500542517533</v>
      </c>
      <c r="C153">
        <f t="shared" si="14"/>
        <v>54.763841834520655</v>
      </c>
      <c r="D153">
        <f t="shared" si="15"/>
        <v>1.1888732350637303</v>
      </c>
      <c r="E153">
        <f t="shared" si="16"/>
        <v>3436.5073523630435</v>
      </c>
      <c r="F153">
        <f t="shared" si="17"/>
        <v>327.90242784549099</v>
      </c>
    </row>
    <row r="154" spans="1:6" x14ac:dyDescent="0.35">
      <c r="A154">
        <f t="shared" si="12"/>
        <v>1.370000000000001</v>
      </c>
      <c r="B154">
        <f t="shared" si="13"/>
        <v>58.354138960862741</v>
      </c>
      <c r="C154">
        <f t="shared" si="14"/>
        <v>58.042866112975567</v>
      </c>
      <c r="D154">
        <f t="shared" si="15"/>
        <v>1.5181454200236197</v>
      </c>
      <c r="E154">
        <f t="shared" si="16"/>
        <v>2534.7393328780454</v>
      </c>
      <c r="F154">
        <f t="shared" si="17"/>
        <v>252.85527077559519</v>
      </c>
    </row>
    <row r="155" spans="1:6" x14ac:dyDescent="0.35">
      <c r="A155">
        <f t="shared" si="12"/>
        <v>1.380000000000001</v>
      </c>
      <c r="B155">
        <f t="shared" si="13"/>
        <v>58.9345676219925</v>
      </c>
      <c r="C155">
        <f t="shared" si="14"/>
        <v>60.571418820731516</v>
      </c>
      <c r="D155">
        <f t="shared" si="15"/>
        <v>1.7459028496766542</v>
      </c>
      <c r="E155">
        <f t="shared" si="16"/>
        <v>1360.369813880656</v>
      </c>
      <c r="F155">
        <f t="shared" si="17"/>
        <v>150.13287129554726</v>
      </c>
    </row>
    <row r="156" spans="1:6" x14ac:dyDescent="0.35">
      <c r="A156">
        <f t="shared" si="12"/>
        <v>1.390000000000001</v>
      </c>
      <c r="B156">
        <f t="shared" si="13"/>
        <v>59.540281810199815</v>
      </c>
      <c r="C156">
        <f t="shared" si="14"/>
        <v>62.072747533686986</v>
      </c>
      <c r="D156">
        <f t="shared" si="15"/>
        <v>1.8296037509580427</v>
      </c>
      <c r="E156">
        <f t="shared" si="16"/>
        <v>10.573358291642029</v>
      </c>
      <c r="F156">
        <f t="shared" si="17"/>
        <v>24.689780400991879</v>
      </c>
    </row>
    <row r="157" spans="1:6" x14ac:dyDescent="0.35">
      <c r="A157">
        <f t="shared" si="12"/>
        <v>1.400000000000001</v>
      </c>
      <c r="B157">
        <f t="shared" si="13"/>
        <v>60.161009285536686</v>
      </c>
      <c r="C157">
        <f t="shared" si="14"/>
        <v>62.319645337696905</v>
      </c>
      <c r="D157">
        <f t="shared" si="15"/>
        <v>1.7443515860950545</v>
      </c>
      <c r="E157">
        <f t="shared" si="16"/>
        <v>-1372.6063210023876</v>
      </c>
      <c r="F157">
        <f t="shared" si="17"/>
        <v>-112.58853039917378</v>
      </c>
    </row>
    <row r="158" spans="1:6" x14ac:dyDescent="0.35">
      <c r="A158">
        <f t="shared" si="12"/>
        <v>1.410000000000001</v>
      </c>
      <c r="B158">
        <f t="shared" si="13"/>
        <v>60.784205738913656</v>
      </c>
      <c r="C158">
        <f t="shared" si="14"/>
        <v>61.193760033705168</v>
      </c>
      <c r="D158">
        <f t="shared" si="15"/>
        <v>1.4931532504729672</v>
      </c>
      <c r="E158">
        <f t="shared" si="16"/>
        <v>-2623.9860938600395</v>
      </c>
      <c r="F158">
        <f t="shared" si="17"/>
        <v>-245.0166175039723</v>
      </c>
    </row>
    <row r="159" spans="1:6" x14ac:dyDescent="0.35">
      <c r="A159">
        <f t="shared" si="12"/>
        <v>1.420000000000001</v>
      </c>
      <c r="B159">
        <f t="shared" si="13"/>
        <v>61.396143339250706</v>
      </c>
      <c r="C159">
        <f t="shared" si="14"/>
        <v>58.743593858665442</v>
      </c>
      <c r="D159">
        <f t="shared" si="15"/>
        <v>1.1096475327289677</v>
      </c>
      <c r="E159">
        <f t="shared" si="16"/>
        <v>-3588.3844830756634</v>
      </c>
      <c r="F159">
        <f t="shared" si="17"/>
        <v>-353.30866348639705</v>
      </c>
    </row>
    <row r="160" spans="1:6" x14ac:dyDescent="0.35">
      <c r="A160">
        <f t="shared" si="12"/>
        <v>1.430000000000001</v>
      </c>
      <c r="B160">
        <f t="shared" si="13"/>
        <v>61.983579277837357</v>
      </c>
      <c r="C160">
        <f t="shared" si="14"/>
        <v>55.210507223801471</v>
      </c>
      <c r="D160">
        <f t="shared" si="15"/>
        <v>0.65227968810791181</v>
      </c>
      <c r="E160">
        <f t="shared" si="16"/>
        <v>-4106.8374697234221</v>
      </c>
      <c r="F160">
        <f t="shared" si="17"/>
        <v>-416.48938058772831</v>
      </c>
    </row>
    <row r="161" spans="1:6" x14ac:dyDescent="0.35">
      <c r="A161">
        <f t="shared" si="12"/>
        <v>1.4400000000000011</v>
      </c>
      <c r="B161">
        <f t="shared" si="13"/>
        <v>62.535684350075371</v>
      </c>
      <c r="C161">
        <f t="shared" si="14"/>
        <v>51.045613417924187</v>
      </c>
      <c r="D161">
        <f t="shared" si="15"/>
        <v>0.22662066859079361</v>
      </c>
      <c r="E161">
        <f t="shared" si="16"/>
        <v>-2747.9414061308617</v>
      </c>
      <c r="F161">
        <f t="shared" si="17"/>
        <v>-290.97694017772261</v>
      </c>
    </row>
    <row r="162" spans="1:6" x14ac:dyDescent="0.35">
      <c r="A162">
        <f t="shared" si="12"/>
        <v>1.4500000000000011</v>
      </c>
      <c r="B162">
        <f t="shared" si="13"/>
        <v>63.046140484254614</v>
      </c>
      <c r="C162">
        <f t="shared" si="14"/>
        <v>48.135844016146962</v>
      </c>
      <c r="D162">
        <f t="shared" si="15"/>
        <v>0.37221778508368641</v>
      </c>
      <c r="E162">
        <f t="shared" si="16"/>
        <v>3917.4560018313673</v>
      </c>
      <c r="F162">
        <f t="shared" si="17"/>
        <v>358.81125043364938</v>
      </c>
    </row>
    <row r="163" spans="1:6" x14ac:dyDescent="0.35">
      <c r="A163">
        <f t="shared" si="12"/>
        <v>1.4600000000000011</v>
      </c>
      <c r="B163">
        <f t="shared" si="13"/>
        <v>63.527498924416086</v>
      </c>
      <c r="C163">
        <f t="shared" si="14"/>
        <v>51.723956520483455</v>
      </c>
      <c r="D163">
        <f t="shared" si="15"/>
        <v>0.76477579210639146</v>
      </c>
      <c r="E163">
        <f t="shared" si="16"/>
        <v>4038.0429890131663</v>
      </c>
      <c r="F163">
        <f t="shared" si="17"/>
        <v>375.58822361040757</v>
      </c>
    </row>
    <row r="164" spans="1:6" x14ac:dyDescent="0.35">
      <c r="A164">
        <f t="shared" si="12"/>
        <v>1.4700000000000011</v>
      </c>
      <c r="B164">
        <f t="shared" si="13"/>
        <v>64.044738489620926</v>
      </c>
      <c r="C164">
        <f t="shared" si="14"/>
        <v>55.479838756587533</v>
      </c>
      <c r="D164">
        <f t="shared" si="15"/>
        <v>1.1577000353748435</v>
      </c>
      <c r="E164">
        <f t="shared" si="16"/>
        <v>3498.6410799661862</v>
      </c>
      <c r="F164">
        <f t="shared" si="17"/>
        <v>332.9488310999098</v>
      </c>
    </row>
    <row r="165" spans="1:6" x14ac:dyDescent="0.35">
      <c r="A165">
        <f t="shared" si="12"/>
        <v>1.4800000000000011</v>
      </c>
      <c r="B165">
        <f t="shared" si="13"/>
        <v>64.599536877186807</v>
      </c>
      <c r="C165">
        <f t="shared" si="14"/>
        <v>58.809327067586629</v>
      </c>
      <c r="D165">
        <f t="shared" si="15"/>
        <v>1.4987249895158266</v>
      </c>
      <c r="E165">
        <f t="shared" si="16"/>
        <v>2604.4925370603119</v>
      </c>
      <c r="F165">
        <f t="shared" si="17"/>
        <v>258.7773488638968</v>
      </c>
    </row>
    <row r="166" spans="1:6" x14ac:dyDescent="0.35">
      <c r="A166">
        <f t="shared" si="12"/>
        <v>1.4900000000000011</v>
      </c>
      <c r="B166">
        <f t="shared" si="13"/>
        <v>65.187630147862677</v>
      </c>
      <c r="C166">
        <f t="shared" si="14"/>
        <v>61.397100556225595</v>
      </c>
      <c r="D166">
        <f t="shared" si="15"/>
        <v>1.737511845694931</v>
      </c>
      <c r="E166">
        <f t="shared" si="16"/>
        <v>1425.1763287426654</v>
      </c>
      <c r="F166">
        <f t="shared" si="17"/>
        <v>155.95335264644802</v>
      </c>
    </row>
    <row r="167" spans="1:6" x14ac:dyDescent="0.35">
      <c r="A167">
        <f t="shared" si="12"/>
        <v>1.5000000000000011</v>
      </c>
      <c r="B167">
        <f t="shared" si="13"/>
        <v>65.80160115342494</v>
      </c>
      <c r="C167">
        <f t="shared" si="14"/>
        <v>62.956634082690073</v>
      </c>
      <c r="D167">
        <f t="shared" si="15"/>
        <v>1.82944923001055</v>
      </c>
      <c r="E167">
        <f t="shared" si="16"/>
        <v>60.093255707657846</v>
      </c>
      <c r="F167">
        <f t="shared" si="17"/>
        <v>29.437168165729883</v>
      </c>
    </row>
    <row r="168" spans="1:6" x14ac:dyDescent="0.35">
      <c r="A168">
        <f t="shared" si="12"/>
        <v>1.5100000000000011</v>
      </c>
      <c r="B168">
        <f t="shared" si="13"/>
        <v>66.431167494251838</v>
      </c>
      <c r="C168">
        <f t="shared" si="14"/>
        <v>63.251005764347369</v>
      </c>
      <c r="D168">
        <f t="shared" si="15"/>
        <v>1.7478912076201334</v>
      </c>
      <c r="E168">
        <f t="shared" si="16"/>
        <v>-1344.5056901652397</v>
      </c>
      <c r="F168">
        <f t="shared" si="17"/>
        <v>-109.70744739470135</v>
      </c>
    </row>
    <row r="169" spans="1:6" x14ac:dyDescent="0.35">
      <c r="A169">
        <f t="shared" si="12"/>
        <v>1.5200000000000011</v>
      </c>
      <c r="B169">
        <f t="shared" si="13"/>
        <v>67.06367755189531</v>
      </c>
      <c r="C169">
        <f t="shared" si="14"/>
        <v>62.153931290400358</v>
      </c>
      <c r="D169">
        <f t="shared" si="15"/>
        <v>1.4950995632657051</v>
      </c>
      <c r="E169">
        <f t="shared" si="16"/>
        <v>-2617.2021056675694</v>
      </c>
      <c r="F169">
        <f t="shared" si="17"/>
        <v>-244.27590068901404</v>
      </c>
    </row>
    <row r="170" spans="1:6" x14ac:dyDescent="0.35">
      <c r="A170">
        <f t="shared" si="12"/>
        <v>1.5300000000000011</v>
      </c>
      <c r="B170">
        <f t="shared" si="13"/>
        <v>67.685216864799315</v>
      </c>
      <c r="C170">
        <f t="shared" si="14"/>
        <v>59.711172283510216</v>
      </c>
      <c r="D170">
        <f t="shared" si="15"/>
        <v>1.1054172382051937</v>
      </c>
      <c r="E170">
        <f t="shared" si="16"/>
        <v>-3595.9462254301716</v>
      </c>
      <c r="F170">
        <f t="shared" si="17"/>
        <v>-354.18594065409337</v>
      </c>
    </row>
    <row r="171" spans="1:6" x14ac:dyDescent="0.35">
      <c r="A171">
        <f t="shared" si="12"/>
        <v>1.5400000000000011</v>
      </c>
      <c r="B171">
        <f t="shared" si="13"/>
        <v>68.282328587634424</v>
      </c>
      <c r="C171">
        <f t="shared" si="14"/>
        <v>56.169312876969279</v>
      </c>
      <c r="D171">
        <f t="shared" si="15"/>
        <v>0.6394884197724422</v>
      </c>
      <c r="E171">
        <f t="shared" si="16"/>
        <v>-4111.5385413456879</v>
      </c>
      <c r="F171">
        <f t="shared" si="17"/>
        <v>-417.22544416629535</v>
      </c>
    </row>
    <row r="172" spans="1:6" x14ac:dyDescent="0.35">
      <c r="A172">
        <f t="shared" si="12"/>
        <v>1.5500000000000012</v>
      </c>
      <c r="B172">
        <f t="shared" si="13"/>
        <v>68.844021716404114</v>
      </c>
      <c r="C172">
        <f t="shared" si="14"/>
        <v>51.997058435306329</v>
      </c>
      <c r="D172">
        <f t="shared" si="15"/>
        <v>0.21356639324213794</v>
      </c>
      <c r="E172">
        <f t="shared" si="16"/>
        <v>-2432.5741768767316</v>
      </c>
      <c r="F172">
        <f t="shared" si="17"/>
        <v>-260.3777913352755</v>
      </c>
    </row>
    <row r="173" spans="1:6" x14ac:dyDescent="0.35">
      <c r="A173">
        <f t="shared" si="12"/>
        <v>1.5600000000000012</v>
      </c>
      <c r="B173">
        <f t="shared" si="13"/>
        <v>69.363992300757175</v>
      </c>
      <c r="C173">
        <f t="shared" si="14"/>
        <v>49.393280521953571</v>
      </c>
      <c r="D173">
        <f t="shared" si="15"/>
        <v>0.39961697075634289</v>
      </c>
      <c r="E173">
        <f t="shared" si="16"/>
        <v>3983.0703496217302</v>
      </c>
      <c r="F173">
        <f t="shared" si="17"/>
        <v>365.40304747010231</v>
      </c>
    </row>
    <row r="174" spans="1:6" x14ac:dyDescent="0.35">
      <c r="A174">
        <f t="shared" si="12"/>
        <v>1.5700000000000012</v>
      </c>
      <c r="B174">
        <f t="shared" si="13"/>
        <v>69.857925105976705</v>
      </c>
      <c r="C174">
        <f t="shared" si="14"/>
        <v>53.047310996654595</v>
      </c>
      <c r="D174">
        <f t="shared" si="15"/>
        <v>0.80277573859488904</v>
      </c>
      <c r="E174">
        <f t="shared" si="16"/>
        <v>4005.129148713952</v>
      </c>
      <c r="F174">
        <f t="shared" si="17"/>
        <v>373.12174283978254</v>
      </c>
    </row>
    <row r="175" spans="1:6" x14ac:dyDescent="0.35">
      <c r="A175">
        <f t="shared" si="12"/>
        <v>1.5800000000000012</v>
      </c>
      <c r="B175">
        <f t="shared" si="13"/>
        <v>70.388398215943255</v>
      </c>
      <c r="C175">
        <f t="shared" si="14"/>
        <v>56.778528425052421</v>
      </c>
      <c r="D175">
        <f t="shared" si="15"/>
        <v>1.1995110061299161</v>
      </c>
      <c r="E175">
        <f t="shared" si="16"/>
        <v>3414.5705027108411</v>
      </c>
      <c r="F175">
        <f t="shared" si="17"/>
        <v>326.11658833103479</v>
      </c>
    </row>
    <row r="176" spans="1:6" x14ac:dyDescent="0.35">
      <c r="A176">
        <f t="shared" si="12"/>
        <v>1.5900000000000012</v>
      </c>
      <c r="B176">
        <f t="shared" si="13"/>
        <v>70.956183500193774</v>
      </c>
      <c r="C176">
        <f t="shared" si="14"/>
        <v>60.039694308362769</v>
      </c>
      <c r="D176">
        <f t="shared" si="15"/>
        <v>1.5359926761941161</v>
      </c>
      <c r="E176">
        <f t="shared" si="16"/>
        <v>2468.0055479959483</v>
      </c>
      <c r="F176">
        <f t="shared" si="17"/>
        <v>247.1711094235591</v>
      </c>
    </row>
    <row r="177" spans="1:6" x14ac:dyDescent="0.35">
      <c r="A177">
        <f t="shared" si="12"/>
        <v>1.6000000000000012</v>
      </c>
      <c r="B177">
        <f t="shared" si="13"/>
        <v>71.556580443277397</v>
      </c>
      <c r="C177">
        <f t="shared" si="14"/>
        <v>62.511405402598356</v>
      </c>
      <c r="D177">
        <f t="shared" si="15"/>
        <v>1.7603719118739842</v>
      </c>
      <c r="E177">
        <f t="shared" si="16"/>
        <v>1239.8319824726814</v>
      </c>
      <c r="F177">
        <f t="shared" si="17"/>
        <v>139.25868642347433</v>
      </c>
    </row>
    <row r="178" spans="1:6" x14ac:dyDescent="0.35">
      <c r="A178">
        <f t="shared" si="12"/>
        <v>1.6100000000000012</v>
      </c>
      <c r="B178">
        <f t="shared" si="13"/>
        <v>72.181694497303383</v>
      </c>
      <c r="C178">
        <f t="shared" si="14"/>
        <v>63.9039922668331</v>
      </c>
      <c r="D178">
        <f t="shared" si="15"/>
        <v>1.8284871884286795</v>
      </c>
      <c r="E178">
        <f t="shared" si="16"/>
        <v>-159.34692869857074</v>
      </c>
      <c r="F178">
        <f t="shared" si="17"/>
        <v>8.313638508426358</v>
      </c>
    </row>
    <row r="179" spans="1:6" x14ac:dyDescent="0.35">
      <c r="A179">
        <f t="shared" si="12"/>
        <v>1.6200000000000012</v>
      </c>
      <c r="B179">
        <f t="shared" si="13"/>
        <v>72.820734419971714</v>
      </c>
      <c r="C179">
        <f t="shared" si="14"/>
        <v>63.987128651917367</v>
      </c>
      <c r="D179">
        <f t="shared" si="15"/>
        <v>1.7168558609977758</v>
      </c>
      <c r="E179">
        <f t="shared" si="16"/>
        <v>-1572.1413869863843</v>
      </c>
      <c r="F179">
        <f t="shared" si="17"/>
        <v>-133.15984206387026</v>
      </c>
    </row>
    <row r="180" spans="1:6" x14ac:dyDescent="0.35">
      <c r="A180">
        <f t="shared" si="12"/>
        <v>1.6300000000000012</v>
      </c>
      <c r="B180">
        <f t="shared" si="13"/>
        <v>73.460605706490881</v>
      </c>
      <c r="C180">
        <f t="shared" si="14"/>
        <v>62.655530231278661</v>
      </c>
      <c r="D180">
        <f t="shared" si="15"/>
        <v>1.4332317681034836</v>
      </c>
      <c r="E180">
        <f t="shared" si="16"/>
        <v>-2820.4965821348637</v>
      </c>
      <c r="F180">
        <f t="shared" si="17"/>
        <v>-266.58903255334542</v>
      </c>
    </row>
    <row r="181" spans="1:6" x14ac:dyDescent="0.35">
      <c r="A181">
        <f t="shared" si="12"/>
        <v>1.6400000000000012</v>
      </c>
      <c r="B181">
        <f t="shared" si="13"/>
        <v>74.087161008803662</v>
      </c>
      <c r="C181">
        <f t="shared" si="14"/>
        <v>59.989639905745207</v>
      </c>
      <c r="D181">
        <f t="shared" si="15"/>
        <v>1.0182632386687811</v>
      </c>
      <c r="E181">
        <f t="shared" si="16"/>
        <v>-3740.079657367422</v>
      </c>
      <c r="F181">
        <f t="shared" si="17"/>
        <v>-371.03078375600882</v>
      </c>
    </row>
    <row r="182" spans="1:6" x14ac:dyDescent="0.35">
      <c r="A182">
        <f t="shared" si="12"/>
        <v>1.6500000000000012</v>
      </c>
      <c r="B182">
        <f t="shared" si="13"/>
        <v>74.687057407861118</v>
      </c>
      <c r="C182">
        <f t="shared" si="14"/>
        <v>56.27933206818512</v>
      </c>
      <c r="D182">
        <f t="shared" si="15"/>
        <v>0.53933464547861087</v>
      </c>
      <c r="E182">
        <f t="shared" si="16"/>
        <v>-4119.1165206809465</v>
      </c>
      <c r="F182">
        <f t="shared" si="17"/>
        <v>-419.99201955777767</v>
      </c>
    </row>
    <row r="183" spans="1:6" x14ac:dyDescent="0.35">
      <c r="A183">
        <f t="shared" si="12"/>
        <v>1.6600000000000013</v>
      </c>
      <c r="B183">
        <f t="shared" si="13"/>
        <v>75.249850728542967</v>
      </c>
      <c r="C183">
        <f t="shared" si="14"/>
        <v>52.079411872607345</v>
      </c>
      <c r="D183">
        <f t="shared" si="15"/>
        <v>0.18038798871636252</v>
      </c>
      <c r="E183">
        <f t="shared" si="16"/>
        <v>-70.358460936228624</v>
      </c>
      <c r="F183">
        <f t="shared" si="17"/>
        <v>-30.528183162583705</v>
      </c>
    </row>
    <row r="184" spans="1:6" x14ac:dyDescent="0.35">
      <c r="A184">
        <f t="shared" si="12"/>
        <v>1.6700000000000013</v>
      </c>
      <c r="B184">
        <f t="shared" si="13"/>
        <v>75.77064484726904</v>
      </c>
      <c r="C184">
        <f t="shared" si="14"/>
        <v>51.774130040981511</v>
      </c>
      <c r="D184">
        <f t="shared" si="15"/>
        <v>0.49975264440332334</v>
      </c>
      <c r="E184">
        <f t="shared" si="16"/>
        <v>4103.5167706980346</v>
      </c>
      <c r="F184">
        <f t="shared" si="17"/>
        <v>378.05647636145812</v>
      </c>
    </row>
    <row r="185" spans="1:6" x14ac:dyDescent="0.35">
      <c r="A185">
        <f t="shared" si="12"/>
        <v>1.6800000000000013</v>
      </c>
      <c r="B185">
        <f t="shared" si="13"/>
        <v>76.28838614767885</v>
      </c>
      <c r="C185">
        <f t="shared" si="14"/>
        <v>55.554694804596096</v>
      </c>
      <c r="D185">
        <f t="shared" si="15"/>
        <v>0.91896305085094576</v>
      </c>
      <c r="E185">
        <f t="shared" si="16"/>
        <v>3878.2678263167404</v>
      </c>
      <c r="F185">
        <f t="shared" si="17"/>
        <v>363.31077953574004</v>
      </c>
    </row>
    <row r="186" spans="1:6" x14ac:dyDescent="0.35">
      <c r="A186">
        <f t="shared" si="12"/>
        <v>1.6900000000000013</v>
      </c>
      <c r="B186">
        <f t="shared" si="13"/>
        <v>76.843933095724807</v>
      </c>
      <c r="C186">
        <f t="shared" si="14"/>
        <v>59.1878025999535</v>
      </c>
      <c r="D186">
        <f t="shared" si="15"/>
        <v>1.3128278045703898</v>
      </c>
      <c r="E186">
        <f t="shared" si="16"/>
        <v>3155.6481054676892</v>
      </c>
      <c r="F186">
        <f t="shared" si="17"/>
        <v>304.88297337454196</v>
      </c>
    </row>
    <row r="187" spans="1:6" x14ac:dyDescent="0.35">
      <c r="A187">
        <f t="shared" si="12"/>
        <v>1.7000000000000013</v>
      </c>
      <c r="B187">
        <f t="shared" si="13"/>
        <v>77.435811121724342</v>
      </c>
      <c r="C187">
        <f t="shared" si="14"/>
        <v>62.236632333698921</v>
      </c>
      <c r="D187">
        <f t="shared" si="15"/>
        <v>1.6255343156127797</v>
      </c>
      <c r="E187">
        <f t="shared" si="16"/>
        <v>2086.3021399726463</v>
      </c>
      <c r="F187">
        <f t="shared" si="17"/>
        <v>214.30929599017628</v>
      </c>
    </row>
    <row r="188" spans="1:6" x14ac:dyDescent="0.35">
      <c r="A188">
        <f t="shared" si="12"/>
        <v>1.7100000000000013</v>
      </c>
      <c r="B188">
        <f t="shared" si="13"/>
        <v>78.058177445061332</v>
      </c>
      <c r="C188">
        <f t="shared" si="14"/>
        <v>64.379725293600686</v>
      </c>
      <c r="D188">
        <f t="shared" si="15"/>
        <v>1.8040521874798079</v>
      </c>
      <c r="E188">
        <f t="shared" si="16"/>
        <v>758.02133850401015</v>
      </c>
      <c r="F188">
        <f t="shared" si="17"/>
        <v>95.158140900255489</v>
      </c>
    </row>
    <row r="189" spans="1:6" x14ac:dyDescent="0.35">
      <c r="A189">
        <f t="shared" si="12"/>
        <v>1.7200000000000013</v>
      </c>
      <c r="B189">
        <f t="shared" si="13"/>
        <v>78.701974697997343</v>
      </c>
      <c r="C189">
        <f t="shared" si="14"/>
        <v>65.331306702603243</v>
      </c>
      <c r="D189">
        <f t="shared" si="15"/>
        <v>1.8082415116258521</v>
      </c>
      <c r="E189">
        <f t="shared" si="16"/>
        <v>-693.52905651646847</v>
      </c>
      <c r="F189">
        <f t="shared" si="17"/>
        <v>-44.048435340042445</v>
      </c>
    </row>
    <row r="190" spans="1:6" x14ac:dyDescent="0.35">
      <c r="A190">
        <f t="shared" si="12"/>
        <v>1.7300000000000013</v>
      </c>
      <c r="B190">
        <f t="shared" si="13"/>
        <v>79.355287765023377</v>
      </c>
      <c r="C190">
        <f t="shared" si="14"/>
        <v>64.890822349202821</v>
      </c>
      <c r="D190">
        <f t="shared" si="15"/>
        <v>1.624662944600801</v>
      </c>
      <c r="E190">
        <f t="shared" si="16"/>
        <v>-2090.4738793471856</v>
      </c>
      <c r="F190">
        <f t="shared" si="17"/>
        <v>-187.54622556360638</v>
      </c>
    </row>
    <row r="191" spans="1:6" x14ac:dyDescent="0.35">
      <c r="A191">
        <f t="shared" si="12"/>
        <v>1.7400000000000013</v>
      </c>
      <c r="B191">
        <f t="shared" si="13"/>
        <v>80.004195988515406</v>
      </c>
      <c r="C191">
        <f t="shared" si="14"/>
        <v>63.015360093566755</v>
      </c>
      <c r="D191">
        <f t="shared" si="15"/>
        <v>1.2749712934141804</v>
      </c>
      <c r="E191">
        <f t="shared" si="16"/>
        <v>-3247.552506265572</v>
      </c>
      <c r="F191">
        <f t="shared" si="17"/>
        <v>-314.2929802184965</v>
      </c>
    </row>
    <row r="192" spans="1:6" x14ac:dyDescent="0.35">
      <c r="A192">
        <f t="shared" si="12"/>
        <v>1.7500000000000013</v>
      </c>
      <c r="B192">
        <f t="shared" si="13"/>
        <v>80.634349589451077</v>
      </c>
      <c r="C192">
        <f t="shared" si="14"/>
        <v>59.872430291381789</v>
      </c>
      <c r="D192">
        <f t="shared" si="15"/>
        <v>0.81361802000848094</v>
      </c>
      <c r="E192">
        <f t="shared" si="16"/>
        <v>-3994.9325839941816</v>
      </c>
      <c r="F192">
        <f t="shared" si="17"/>
        <v>-401.71579749355692</v>
      </c>
    </row>
    <row r="193" spans="1:6" x14ac:dyDescent="0.35">
      <c r="A193">
        <f t="shared" si="12"/>
        <v>1.7600000000000013</v>
      </c>
      <c r="B193">
        <f t="shared" si="13"/>
        <v>81.233073892364899</v>
      </c>
      <c r="C193">
        <f t="shared" si="14"/>
        <v>55.855272316446218</v>
      </c>
      <c r="D193">
        <f t="shared" si="15"/>
        <v>0.32870863643750742</v>
      </c>
      <c r="E193">
        <f t="shared" si="16"/>
        <v>-3761.7133776392902</v>
      </c>
      <c r="F193">
        <f t="shared" si="17"/>
        <v>-388.5585684823111</v>
      </c>
    </row>
    <row r="194" spans="1:6" x14ac:dyDescent="0.35">
      <c r="A194">
        <f t="shared" si="12"/>
        <v>1.7700000000000014</v>
      </c>
      <c r="B194">
        <f t="shared" si="13"/>
        <v>81.791626615529367</v>
      </c>
      <c r="C194">
        <f t="shared" si="14"/>
        <v>51.969686631623105</v>
      </c>
      <c r="D194">
        <f t="shared" si="15"/>
        <v>0.29385357425861247</v>
      </c>
      <c r="E194">
        <f t="shared" si="16"/>
        <v>3564.1465116289164</v>
      </c>
      <c r="F194">
        <f t="shared" si="17"/>
        <v>323.9399652144005</v>
      </c>
    </row>
    <row r="195" spans="1:6" x14ac:dyDescent="0.35">
      <c r="A195">
        <f t="shared" si="12"/>
        <v>1.7800000000000014</v>
      </c>
      <c r="B195">
        <f t="shared" si="13"/>
        <v>82.311323481845605</v>
      </c>
      <c r="C195">
        <f t="shared" si="14"/>
        <v>55.209086283767107</v>
      </c>
      <c r="D195">
        <f t="shared" si="15"/>
        <v>0.71142844241090875</v>
      </c>
      <c r="E195">
        <f t="shared" si="16"/>
        <v>4076.3859921054145</v>
      </c>
      <c r="F195">
        <f t="shared" si="17"/>
        <v>378.36145278571627</v>
      </c>
    </row>
    <row r="196" spans="1:6" x14ac:dyDescent="0.35">
      <c r="A196">
        <f t="shared" si="12"/>
        <v>1.7900000000000014</v>
      </c>
      <c r="B196">
        <f t="shared" si="13"/>
        <v>82.863414344683278</v>
      </c>
      <c r="C196">
        <f t="shared" si="14"/>
        <v>58.992700811624267</v>
      </c>
      <c r="D196">
        <f t="shared" si="15"/>
        <v>1.1359637732779337</v>
      </c>
      <c r="E196">
        <f t="shared" si="16"/>
        <v>3540.1224951797622</v>
      </c>
      <c r="F196">
        <f t="shared" si="17"/>
        <v>336.30786363538238</v>
      </c>
    </row>
    <row r="197" spans="1:6" x14ac:dyDescent="0.35">
      <c r="A197">
        <f t="shared" si="12"/>
        <v>1.8000000000000014</v>
      </c>
      <c r="B197">
        <f t="shared" si="13"/>
        <v>83.453341352799526</v>
      </c>
      <c r="C197">
        <f t="shared" si="14"/>
        <v>62.355779447978094</v>
      </c>
      <c r="D197">
        <f t="shared" si="15"/>
        <v>1.5009347446714525</v>
      </c>
      <c r="E197">
        <f t="shared" si="16"/>
        <v>2596.6988154294995</v>
      </c>
      <c r="F197">
        <f t="shared" si="17"/>
        <v>258.11663371990915</v>
      </c>
    </row>
    <row r="198" spans="1:6" x14ac:dyDescent="0.35">
      <c r="A198">
        <f t="shared" si="12"/>
        <v>1.8100000000000014</v>
      </c>
      <c r="B198">
        <f t="shared" si="13"/>
        <v>84.076899147279306</v>
      </c>
      <c r="C198">
        <f t="shared" si="14"/>
        <v>64.936945785177187</v>
      </c>
      <c r="D198">
        <f t="shared" si="15"/>
        <v>1.7484922724513492</v>
      </c>
      <c r="E198">
        <f t="shared" si="16"/>
        <v>1339.6693565659205</v>
      </c>
      <c r="F198">
        <f t="shared" si="17"/>
        <v>148.2698770369384</v>
      </c>
    </row>
    <row r="199" spans="1:6" x14ac:dyDescent="0.35">
      <c r="A199">
        <f t="shared" si="12"/>
        <v>1.8200000000000014</v>
      </c>
      <c r="B199">
        <f t="shared" si="13"/>
        <v>84.726268605131082</v>
      </c>
      <c r="C199">
        <f t="shared" si="14"/>
        <v>66.419644555546569</v>
      </c>
      <c r="D199">
        <f t="shared" si="15"/>
        <v>1.8290742880540511</v>
      </c>
      <c r="E199">
        <f t="shared" si="16"/>
        <v>-110.00524655827253</v>
      </c>
      <c r="F199">
        <f t="shared" si="17"/>
        <v>13.082752319488092</v>
      </c>
    </row>
    <row r="200" spans="1:6" x14ac:dyDescent="0.35">
      <c r="A200">
        <f t="shared" si="12"/>
        <v>1.8300000000000014</v>
      </c>
      <c r="B200">
        <f t="shared" si="13"/>
        <v>85.390465050686544</v>
      </c>
      <c r="C200">
        <f t="shared" si="14"/>
        <v>66.55047207874145</v>
      </c>
      <c r="D200">
        <f t="shared" si="15"/>
        <v>1.7157969848769274</v>
      </c>
      <c r="E200">
        <f t="shared" si="16"/>
        <v>-1579.259529974124</v>
      </c>
      <c r="F200">
        <f t="shared" si="17"/>
        <v>-133.89739270459478</v>
      </c>
    </row>
    <row r="201" spans="1:6" x14ac:dyDescent="0.35">
      <c r="A201">
        <f t="shared" si="12"/>
        <v>1.8400000000000014</v>
      </c>
      <c r="B201">
        <f t="shared" si="13"/>
        <v>86.055969771473954</v>
      </c>
      <c r="C201">
        <f t="shared" si="14"/>
        <v>65.211498151695508</v>
      </c>
      <c r="D201">
        <f t="shared" si="15"/>
        <v>1.4167304892351922</v>
      </c>
      <c r="E201">
        <f t="shared" si="16"/>
        <v>-2870.7773532920019</v>
      </c>
      <c r="F201">
        <f t="shared" si="17"/>
        <v>-272.14555893230704</v>
      </c>
    </row>
    <row r="202" spans="1:6" x14ac:dyDescent="0.35">
      <c r="A202">
        <f t="shared" si="12"/>
        <v>1.8500000000000014</v>
      </c>
      <c r="B202">
        <f t="shared" si="13"/>
        <v>86.708084752990914</v>
      </c>
      <c r="C202">
        <f t="shared" si="14"/>
        <v>62.490042562372437</v>
      </c>
      <c r="D202">
        <f t="shared" si="15"/>
        <v>0.97712288921347756</v>
      </c>
      <c r="E202">
        <f t="shared" si="16"/>
        <v>-3800.6347113187444</v>
      </c>
      <c r="F202">
        <f t="shared" si="17"/>
        <v>-378.19032885472285</v>
      </c>
    </row>
    <row r="203" spans="1:6" x14ac:dyDescent="0.35">
      <c r="A203">
        <f t="shared" si="12"/>
        <v>1.8600000000000014</v>
      </c>
      <c r="B203">
        <f t="shared" si="13"/>
        <v>87.332985178614635</v>
      </c>
      <c r="C203">
        <f t="shared" si="14"/>
        <v>58.708139273825211</v>
      </c>
      <c r="D203">
        <f t="shared" si="15"/>
        <v>0.47400919869314229</v>
      </c>
      <c r="E203">
        <f t="shared" si="16"/>
        <v>-4085.520259514019</v>
      </c>
      <c r="F203">
        <f t="shared" si="17"/>
        <v>-417.89817083567448</v>
      </c>
    </row>
    <row r="204" spans="1:6" x14ac:dyDescent="0.35">
      <c r="A204">
        <f t="shared" si="12"/>
        <v>1.8700000000000014</v>
      </c>
      <c r="B204">
        <f t="shared" si="13"/>
        <v>87.920066571352891</v>
      </c>
      <c r="C204">
        <f t="shared" si="14"/>
        <v>54.529157565468466</v>
      </c>
      <c r="D204">
        <f t="shared" si="15"/>
        <v>0.20234237515129824</v>
      </c>
      <c r="E204">
        <f t="shared" si="16"/>
        <v>2060.378680239713</v>
      </c>
      <c r="F204">
        <f t="shared" si="17"/>
        <v>177.10944106798985</v>
      </c>
    </row>
    <row r="205" spans="1:6" x14ac:dyDescent="0.35">
      <c r="A205">
        <f t="shared" si="12"/>
        <v>1.8800000000000014</v>
      </c>
      <c r="B205">
        <f t="shared" si="13"/>
        <v>88.465358147007578</v>
      </c>
      <c r="C205">
        <f t="shared" si="14"/>
        <v>56.300251976148367</v>
      </c>
      <c r="D205">
        <f t="shared" si="15"/>
        <v>0.60546558574937126</v>
      </c>
      <c r="E205">
        <f t="shared" si="16"/>
        <v>4120.3368772889016</v>
      </c>
      <c r="F205">
        <f t="shared" si="17"/>
        <v>380.99508577154512</v>
      </c>
    </row>
    <row r="206" spans="1:6" x14ac:dyDescent="0.35">
      <c r="A206">
        <f t="shared" si="12"/>
        <v>1.8900000000000015</v>
      </c>
      <c r="B206">
        <f t="shared" si="13"/>
        <v>89.028360666769061</v>
      </c>
      <c r="C206">
        <f t="shared" si="14"/>
        <v>60.110202833863816</v>
      </c>
      <c r="D206">
        <f t="shared" si="15"/>
        <v>1.0504520909070783</v>
      </c>
      <c r="E206">
        <f t="shared" si="16"/>
        <v>3689.3934949700711</v>
      </c>
      <c r="F206">
        <f t="shared" si="17"/>
        <v>348.32236695552041</v>
      </c>
    </row>
    <row r="207" spans="1:6" x14ac:dyDescent="0.35">
      <c r="A207">
        <f t="shared" si="12"/>
        <v>1.9000000000000015</v>
      </c>
      <c r="B207">
        <f t="shared" si="13"/>
        <v>89.629462695107705</v>
      </c>
      <c r="C207">
        <f t="shared" si="14"/>
        <v>63.593426503419018</v>
      </c>
      <c r="D207">
        <f t="shared" si="15"/>
        <v>1.4432565882176385</v>
      </c>
      <c r="E207">
        <f t="shared" si="16"/>
        <v>2789.1864788020671</v>
      </c>
      <c r="F207">
        <f t="shared" si="17"/>
        <v>274.36328197227937</v>
      </c>
    </row>
    <row r="208" spans="1:6" x14ac:dyDescent="0.35">
      <c r="A208">
        <f t="shared" si="12"/>
        <v>1.9100000000000015</v>
      </c>
      <c r="B208">
        <f t="shared" si="13"/>
        <v>90.265396960141899</v>
      </c>
      <c r="C208">
        <f t="shared" si="14"/>
        <v>66.337059323141816</v>
      </c>
      <c r="D208">
        <f t="shared" si="15"/>
        <v>1.72119574239771</v>
      </c>
      <c r="E208">
        <f t="shared" si="16"/>
        <v>1542.5747674741333</v>
      </c>
      <c r="F208">
        <f t="shared" si="17"/>
        <v>166.45128807865123</v>
      </c>
    </row>
    <row r="209" spans="1:6" x14ac:dyDescent="0.35">
      <c r="A209">
        <f t="shared" si="12"/>
        <v>1.9200000000000015</v>
      </c>
      <c r="B209">
        <f t="shared" si="13"/>
        <v>90.928767553373319</v>
      </c>
      <c r="C209">
        <f t="shared" si="14"/>
        <v>68.001572203928333</v>
      </c>
      <c r="D209">
        <f t="shared" si="15"/>
        <v>1.8293751901597111</v>
      </c>
      <c r="E209">
        <f t="shared" si="16"/>
        <v>72.717642271178164</v>
      </c>
      <c r="F209">
        <f t="shared" si="17"/>
        <v>30.64564007365821</v>
      </c>
    </row>
    <row r="210" spans="1:6" x14ac:dyDescent="0.35">
      <c r="A210">
        <f t="shared" si="12"/>
        <v>1.9300000000000015</v>
      </c>
      <c r="B210">
        <f t="shared" si="13"/>
        <v>91.608783275412605</v>
      </c>
      <c r="C210">
        <f t="shared" si="14"/>
        <v>68.308028604664912</v>
      </c>
      <c r="D210">
        <f t="shared" si="15"/>
        <v>1.735390618070257</v>
      </c>
      <c r="E210">
        <f t="shared" si="16"/>
        <v>-1441.0477722598591</v>
      </c>
      <c r="F210">
        <f t="shared" si="17"/>
        <v>-119.62211192008387</v>
      </c>
    </row>
    <row r="211" spans="1:6" x14ac:dyDescent="0.35">
      <c r="A211">
        <f t="shared" ref="A211:A217" si="18">A210 + $B$12</f>
        <v>1.9400000000000015</v>
      </c>
      <c r="B211">
        <f t="shared" ref="B211:B217" si="19">B210 + $B$12 * C210</f>
        <v>92.291863561459252</v>
      </c>
      <c r="C211">
        <f t="shared" ref="C211:C217" si="20">C210 + $B$12 * F210</f>
        <v>67.11180748546407</v>
      </c>
      <c r="D211">
        <f t="shared" ref="D211:D217" si="21">SQRT( ($B$2*COS(B211) + $B$3*SIN(B211) - $B$5)^2 + ($B$2*SIN(B211) - $B$3*COS(B211) + $B$6)^2 )</f>
        <v>1.4434951042220672</v>
      </c>
      <c r="E211">
        <f t="shared" ref="E211:E217" si="22">($B$9 / D211) * (($B$6*$B$3 + $B$5*$B$2)*SIN(B211) - ($B$5*$B$3 - $B$6*$B$2)*COS(B211))</f>
        <v>-2788.4342979568041</v>
      </c>
      <c r="F211">
        <f t="shared" ref="F211:F217" si="23">( -$B$7*$B$10*$B$4*COS(B211) + E211 ) / $B$13</f>
        <v>-263.05377643144885</v>
      </c>
    </row>
    <row r="212" spans="1:6" x14ac:dyDescent="0.35">
      <c r="A212">
        <f t="shared" si="18"/>
        <v>1.9500000000000015</v>
      </c>
      <c r="B212">
        <f t="shared" si="19"/>
        <v>92.962981636313899</v>
      </c>
      <c r="C212">
        <f t="shared" si="20"/>
        <v>64.481269721149587</v>
      </c>
      <c r="D212">
        <f t="shared" si="21"/>
        <v>0.99853865127352237</v>
      </c>
      <c r="E212">
        <f t="shared" si="22"/>
        <v>-3769.6995744997562</v>
      </c>
      <c r="F212">
        <f t="shared" si="23"/>
        <v>-374.52569512028879</v>
      </c>
    </row>
    <row r="213" spans="1:6" x14ac:dyDescent="0.35">
      <c r="A213">
        <f t="shared" si="18"/>
        <v>1.9600000000000015</v>
      </c>
      <c r="B213">
        <f t="shared" si="19"/>
        <v>93.607794333525391</v>
      </c>
      <c r="C213">
        <f t="shared" si="20"/>
        <v>60.736012769946697</v>
      </c>
      <c r="D213">
        <f t="shared" si="21"/>
        <v>0.48085804930381387</v>
      </c>
      <c r="E213">
        <f t="shared" si="22"/>
        <v>-4090.9997320610923</v>
      </c>
      <c r="F213">
        <f t="shared" si="23"/>
        <v>-418.31374375007931</v>
      </c>
    </row>
    <row r="214" spans="1:6" x14ac:dyDescent="0.35">
      <c r="A214">
        <f t="shared" si="18"/>
        <v>1.9700000000000015</v>
      </c>
      <c r="B214">
        <f t="shared" si="19"/>
        <v>94.215154461224856</v>
      </c>
      <c r="C214">
        <f t="shared" si="20"/>
        <v>56.552875332445907</v>
      </c>
      <c r="D214">
        <f t="shared" si="21"/>
        <v>0.20747068360612647</v>
      </c>
      <c r="E214">
        <f t="shared" si="22"/>
        <v>2245.8177124687049</v>
      </c>
      <c r="F214">
        <f t="shared" si="23"/>
        <v>195.19007053308667</v>
      </c>
    </row>
    <row r="215" spans="1:6" x14ac:dyDescent="0.35">
      <c r="A215">
        <f t="shared" si="18"/>
        <v>1.9800000000000015</v>
      </c>
      <c r="B215">
        <f t="shared" si="19"/>
        <v>94.780683214549313</v>
      </c>
      <c r="C215">
        <f t="shared" si="20"/>
        <v>58.504776037776772</v>
      </c>
      <c r="D215">
        <f t="shared" si="21"/>
        <v>0.63193229304169574</v>
      </c>
      <c r="E215">
        <f t="shared" si="22"/>
        <v>4113.9705161020975</v>
      </c>
      <c r="F215">
        <f t="shared" si="23"/>
        <v>380.75394816536453</v>
      </c>
    </row>
    <row r="216" spans="1:6" x14ac:dyDescent="0.35">
      <c r="A216">
        <f t="shared" si="18"/>
        <v>1.9900000000000015</v>
      </c>
      <c r="B216">
        <f t="shared" si="19"/>
        <v>95.365730974927075</v>
      </c>
      <c r="C216">
        <f t="shared" si="20"/>
        <v>62.312315519430413</v>
      </c>
      <c r="D216">
        <f t="shared" si="21"/>
        <v>1.0900768827628238</v>
      </c>
      <c r="E216">
        <f t="shared" si="22"/>
        <v>3622.9186846506936</v>
      </c>
      <c r="F216">
        <f t="shared" si="23"/>
        <v>342.98688334700466</v>
      </c>
    </row>
    <row r="217" spans="1:6" x14ac:dyDescent="0.35">
      <c r="A217">
        <f t="shared" si="18"/>
        <v>2.0000000000000013</v>
      </c>
      <c r="B217">
        <f t="shared" si="19"/>
        <v>95.988854130121382</v>
      </c>
      <c r="C217">
        <f t="shared" si="20"/>
        <v>65.742184352900466</v>
      </c>
      <c r="D217">
        <f t="shared" si="21"/>
        <v>1.4847349072687759</v>
      </c>
      <c r="E217">
        <f t="shared" si="22"/>
        <v>2653.0193923514257</v>
      </c>
      <c r="F217">
        <f t="shared" si="23"/>
        <v>262.88571764073697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Kossi KOUDAYA</dc:creator>
  <cp:lastModifiedBy>Boris Kossi KOUDAYA</cp:lastModifiedBy>
  <dcterms:created xsi:type="dcterms:W3CDTF">2015-06-05T18:19:34Z</dcterms:created>
  <dcterms:modified xsi:type="dcterms:W3CDTF">2026-03-04T19:36:07Z</dcterms:modified>
</cp:coreProperties>
</file>